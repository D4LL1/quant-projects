
<file path=[Content_Types].xml><?xml version="1.0" encoding="utf-8"?>
<Types xmlns="http://schemas.openxmlformats.org/package/2006/content-types">
  <Default Extension="bin" ContentType="application/vnd.ms-office.vbaProject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kaco\Desktop\masters\programing and databases\"/>
    </mc:Choice>
  </mc:AlternateContent>
  <xr:revisionPtr revIDLastSave="0" documentId="13_ncr:1_{C7F180A7-6C9B-4875-8F9F-D9C163D95BC0}" xr6:coauthVersionLast="47" xr6:coauthVersionMax="47" xr10:uidLastSave="{00000000-0000-0000-0000-000000000000}"/>
  <bookViews>
    <workbookView xWindow="-108" yWindow="-108" windowWidth="23256" windowHeight="12720" firstSheet="1" activeTab="1" xr2:uid="{A84334F4-520C-4107-AC61-D0F6DAE6B973}"/>
  </bookViews>
  <sheets>
    <sheet name="Option Calculator" sheetId="1" r:id="rId1"/>
    <sheet name="statistics for stocks" sheetId="4" r:id="rId2"/>
    <sheet name="list of the stocks" sheetId="2" r:id="rId3"/>
    <sheet name="list of the pct_chng of stocks" sheetId="3" r:id="rId4"/>
  </sheets>
  <definedNames>
    <definedName name="_xleta.CORREL" hidden="1" xlm="1">#NAME?</definedName>
    <definedName name="solver_adj" localSheetId="1" hidden="1">'statistics for stocks'!$X$53:$AQ$53</definedName>
    <definedName name="solver_cvg" localSheetId="1" hidden="1">_xlfn._LONGTEXT(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0,0001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)</definedName>
    <definedName name="solver_drv" localSheetId="1" hidden="1">2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'statistics for stocks'!$X$53:$AQ$53</definedName>
    <definedName name="solver_lhs2" localSheetId="1" hidden="1">'statistics for stocks'!$X$53:$AQ$53</definedName>
    <definedName name="solver_lhs3" localSheetId="1" hidden="1">'statistics for stocks'!$X$60</definedName>
    <definedName name="solver_lhs4" localSheetId="1" hidden="1">'statistics for stocks'!$X$60</definedName>
    <definedName name="solver_mip" localSheetId="1" hidden="1">2147483647</definedName>
    <definedName name="solver_mni" localSheetId="1" hidden="1">30</definedName>
    <definedName name="solver_mrt" localSheetId="1" hidden="1">_xlfn._LONGTEXT(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0,075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)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'statistics for stocks'!$X$58</definedName>
    <definedName name="solver_pre" localSheetId="1" hidden="1">_xlfn._LONGTEXT(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0,000001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","""""""""""""""""""""""""""""")</definedName>
    <definedName name="solver_rbv" localSheetId="1" hidden="1">2</definedName>
    <definedName name="solver_rel1" localSheetId="1" hidden="1">1</definedName>
    <definedName name="solver_rel2" localSheetId="1" hidden="1">3</definedName>
    <definedName name="solver_rel3" localSheetId="1" hidden="1">2</definedName>
    <definedName name="solver_rel4" localSheetId="1" hidden="1">2</definedName>
    <definedName name="solver_rhs1" localSheetId="1" hidden="1">'statistics for stocks'!$X$54:$AQ$54</definedName>
    <definedName name="solver_rhs2" localSheetId="1" hidden="1">'statistics for stocks'!$X$55:$AQ$55</definedName>
    <definedName name="solver_rhs3" localSheetId="1" hidden="1">1</definedName>
    <definedName name="solver_rhs4" localSheetId="1" hidden="1">1</definedName>
    <definedName name="solver_rlx" localSheetId="1" hidden="1">2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1</definedName>
    <definedName name="solver_val" localSheetId="1" hidden="1">0</definedName>
    <definedName name="solver_ver" localSheetId="1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60" i="4" l="1"/>
  <c r="AQ54" i="4" l="1"/>
  <c r="AP54" i="4"/>
  <c r="AO54" i="4"/>
  <c r="AN54" i="4"/>
  <c r="AM54" i="4"/>
  <c r="AL54" i="4"/>
  <c r="AK54" i="4"/>
  <c r="AJ54" i="4"/>
  <c r="AI54" i="4"/>
  <c r="AH54" i="4"/>
  <c r="AG54" i="4"/>
  <c r="AF54" i="4"/>
  <c r="AE54" i="4"/>
  <c r="AD54" i="4"/>
  <c r="AC54" i="4"/>
  <c r="AB54" i="4"/>
  <c r="AA54" i="4"/>
  <c r="Z54" i="4"/>
  <c r="Y54" i="4"/>
  <c r="X54" i="4"/>
  <c r="B2" i="4"/>
  <c r="C2" i="4" s="1"/>
  <c r="H12" i="1" a="1"/>
  <c r="H12" i="1" s="1"/>
  <c r="G13" i="1" a="1"/>
  <c r="G13" i="1" s="1"/>
  <c r="G12" i="1" a="1"/>
  <c r="G12" i="1" s="1"/>
  <c r="E29" i="2" a="1"/>
  <c r="E29" i="2" s="1"/>
  <c r="L16" i="1" s="1"/>
  <c r="A4" i="4" a="1"/>
  <c r="T4" i="4" a="1"/>
  <c r="U4" i="4" a="1"/>
  <c r="W11" i="4" l="1"/>
  <c r="W9" i="4"/>
  <c r="W8" i="4"/>
  <c r="W7" i="4"/>
  <c r="W19" i="4"/>
  <c r="W18" i="4"/>
  <c r="W16" i="4"/>
  <c r="W14" i="4"/>
  <c r="W13" i="4"/>
  <c r="W10" i="4"/>
  <c r="W17" i="4"/>
  <c r="W15" i="4"/>
  <c r="W12" i="4"/>
  <c r="W6" i="4"/>
  <c r="W21" i="4"/>
  <c r="W5" i="4"/>
  <c r="W20" i="4"/>
  <c r="W4" i="4"/>
  <c r="X21" i="4"/>
  <c r="X20" i="4"/>
  <c r="X19" i="4"/>
  <c r="X18" i="4"/>
  <c r="X17" i="4"/>
  <c r="X16" i="4"/>
  <c r="X6" i="4"/>
  <c r="X15" i="4"/>
  <c r="X14" i="4"/>
  <c r="X7" i="4"/>
  <c r="X5" i="4"/>
  <c r="X13" i="4"/>
  <c r="X12" i="4"/>
  <c r="X11" i="4"/>
  <c r="X10" i="4"/>
  <c r="X9" i="4"/>
  <c r="X8" i="4"/>
  <c r="X4" i="4"/>
  <c r="A4" i="4"/>
  <c r="AQ18" i="4"/>
  <c r="AQ14" i="4"/>
  <c r="AQ10" i="4"/>
  <c r="AQ6" i="4"/>
  <c r="AQ21" i="4"/>
  <c r="AQ17" i="4"/>
  <c r="AQ13" i="4"/>
  <c r="AQ9" i="4"/>
  <c r="AQ5" i="4"/>
  <c r="AQ12" i="4"/>
  <c r="AQ8" i="4"/>
  <c r="AQ15" i="4"/>
  <c r="AQ11" i="4"/>
  <c r="AQ7" i="4"/>
  <c r="AQ20" i="4"/>
  <c r="AQ16" i="4"/>
  <c r="AQ19" i="4"/>
  <c r="AP6" i="4"/>
  <c r="AP7" i="4"/>
  <c r="AP18" i="4"/>
  <c r="AP10" i="4"/>
  <c r="AP13" i="4"/>
  <c r="AP9" i="4"/>
  <c r="AP5" i="4"/>
  <c r="AP21" i="4"/>
  <c r="AP17" i="4"/>
  <c r="AP20" i="4"/>
  <c r="AP16" i="4"/>
  <c r="AP12" i="4"/>
  <c r="AP8" i="4"/>
  <c r="AP19" i="4"/>
  <c r="AP15" i="4"/>
  <c r="AP11" i="4"/>
  <c r="AP14" i="4"/>
  <c r="U4" i="4"/>
  <c r="AQ4" i="4" s="1"/>
  <c r="T4" i="4"/>
  <c r="AP4" i="4" s="1"/>
  <c r="K19" i="1"/>
  <c r="G4" i="2"/>
  <c r="H4" i="2" s="1"/>
  <c r="C4" i="2"/>
  <c r="D4" i="2" s="1"/>
  <c r="D4" i="4" a="1"/>
  <c r="M4" i="4" a="1"/>
  <c r="H4" i="4" a="1"/>
  <c r="Q4" i="4" a="1"/>
  <c r="K4" i="4" a="1"/>
  <c r="E4" i="4" a="1"/>
  <c r="J4" i="4" a="1"/>
  <c r="S4" i="4" a="1"/>
  <c r="C4" i="4" a="1"/>
  <c r="L4" i="4" a="1"/>
  <c r="F4" i="4" a="1"/>
  <c r="N4" i="4" a="1"/>
  <c r="O4" i="4" a="1"/>
  <c r="P4" i="4" a="1"/>
  <c r="G4" i="4" a="1"/>
  <c r="R4" i="4" a="1"/>
  <c r="I4" i="4" a="1"/>
  <c r="X24" i="4" l="1"/>
  <c r="AQ24" i="4"/>
  <c r="AP24" i="4"/>
  <c r="X25" i="4"/>
  <c r="AQ49" i="4"/>
  <c r="AP49" i="4"/>
  <c r="X49" i="4"/>
  <c r="AQ50" i="4"/>
  <c r="AP50" i="4"/>
  <c r="X50" i="4"/>
  <c r="X31" i="4"/>
  <c r="AQ31" i="4"/>
  <c r="AP31" i="4"/>
  <c r="AP29" i="4"/>
  <c r="AQ29" i="4"/>
  <c r="X29" i="4"/>
  <c r="X28" i="4"/>
  <c r="AP28" i="4"/>
  <c r="AQ28" i="4"/>
  <c r="AP27" i="4"/>
  <c r="AQ27" i="4"/>
  <c r="X27" i="4"/>
  <c r="BM22" i="4"/>
  <c r="BL22" i="4"/>
  <c r="AT22" i="4"/>
  <c r="BM23" i="4"/>
  <c r="BL23" i="4"/>
  <c r="AT23" i="4"/>
  <c r="BL4" i="4"/>
  <c r="BM4" i="4"/>
  <c r="AT4" i="4"/>
  <c r="AP25" i="4"/>
  <c r="AQ25" i="4"/>
  <c r="AE21" i="4"/>
  <c r="AE17" i="4"/>
  <c r="AE13" i="4"/>
  <c r="AE9" i="4"/>
  <c r="AE5" i="4"/>
  <c r="AE20" i="4"/>
  <c r="AE16" i="4"/>
  <c r="AE12" i="4"/>
  <c r="AE8" i="4"/>
  <c r="AE15" i="4"/>
  <c r="AE19" i="4"/>
  <c r="AE7" i="4"/>
  <c r="AE11" i="4"/>
  <c r="AE14" i="4"/>
  <c r="AE10" i="4"/>
  <c r="AE6" i="4"/>
  <c r="AE18" i="4"/>
  <c r="AN6" i="4"/>
  <c r="AN18" i="4"/>
  <c r="AN14" i="4"/>
  <c r="AN10" i="4"/>
  <c r="AN21" i="4"/>
  <c r="AN17" i="4"/>
  <c r="AN13" i="4"/>
  <c r="AN9" i="4"/>
  <c r="AN5" i="4"/>
  <c r="AN8" i="4"/>
  <c r="AN20" i="4"/>
  <c r="AN16" i="4"/>
  <c r="AN12" i="4"/>
  <c r="AN19" i="4"/>
  <c r="AN15" i="4"/>
  <c r="AN11" i="4"/>
  <c r="AN7" i="4"/>
  <c r="AC21" i="4"/>
  <c r="AC17" i="4"/>
  <c r="AC13" i="4"/>
  <c r="AC9" i="4"/>
  <c r="AC5" i="4"/>
  <c r="AC20" i="4"/>
  <c r="AC16" i="4"/>
  <c r="AC12" i="4"/>
  <c r="AC8" i="4"/>
  <c r="AC19" i="4"/>
  <c r="AC15" i="4"/>
  <c r="AC11" i="4"/>
  <c r="AC7" i="4"/>
  <c r="AC18" i="4"/>
  <c r="AC14" i="4"/>
  <c r="AC10" i="4"/>
  <c r="AC6" i="4"/>
  <c r="AL19" i="4"/>
  <c r="AL15" i="4"/>
  <c r="AL11" i="4"/>
  <c r="AL8" i="4"/>
  <c r="AL18" i="4"/>
  <c r="AL14" i="4"/>
  <c r="AL21" i="4"/>
  <c r="AL17" i="4"/>
  <c r="AL13" i="4"/>
  <c r="AL9" i="4"/>
  <c r="AL5" i="4"/>
  <c r="AL20" i="4"/>
  <c r="AL16" i="4"/>
  <c r="AL12" i="4"/>
  <c r="AL7" i="4"/>
  <c r="AL10" i="4"/>
  <c r="AL6" i="4"/>
  <c r="AK19" i="4"/>
  <c r="AK15" i="4"/>
  <c r="AK11" i="4"/>
  <c r="AK7" i="4"/>
  <c r="AK18" i="4"/>
  <c r="AK14" i="4"/>
  <c r="AK10" i="4"/>
  <c r="AK6" i="4"/>
  <c r="AK21" i="4"/>
  <c r="AK17" i="4"/>
  <c r="AK13" i="4"/>
  <c r="AK9" i="4"/>
  <c r="AK5" i="4"/>
  <c r="AK20" i="4"/>
  <c r="AK16" i="4"/>
  <c r="AK12" i="4"/>
  <c r="AK8" i="4"/>
  <c r="AJ19" i="4"/>
  <c r="AJ15" i="4"/>
  <c r="AJ7" i="4"/>
  <c r="AJ18" i="4"/>
  <c r="AJ14" i="4"/>
  <c r="AJ10" i="4"/>
  <c r="AJ6" i="4"/>
  <c r="AJ5" i="4"/>
  <c r="AJ21" i="4"/>
  <c r="AJ17" i="4"/>
  <c r="AJ13" i="4"/>
  <c r="AJ9" i="4"/>
  <c r="AJ20" i="4"/>
  <c r="AJ16" i="4"/>
  <c r="AJ12" i="4"/>
  <c r="AJ8" i="4"/>
  <c r="AJ11" i="4"/>
  <c r="AB21" i="4"/>
  <c r="AB17" i="4"/>
  <c r="AB13" i="4"/>
  <c r="AB11" i="4"/>
  <c r="AB7" i="4"/>
  <c r="AB20" i="4"/>
  <c r="AB16" i="4"/>
  <c r="AB12" i="4"/>
  <c r="AB8" i="4"/>
  <c r="AB19" i="4"/>
  <c r="AB15" i="4"/>
  <c r="AB18" i="4"/>
  <c r="AB14" i="4"/>
  <c r="AB10" i="4"/>
  <c r="AB6" i="4"/>
  <c r="AB9" i="4"/>
  <c r="AB5" i="4"/>
  <c r="AH11" i="4"/>
  <c r="AH20" i="4"/>
  <c r="AH16" i="4"/>
  <c r="AH8" i="4"/>
  <c r="AH19" i="4"/>
  <c r="AH15" i="4"/>
  <c r="AH6" i="4"/>
  <c r="AH18" i="4"/>
  <c r="AH14" i="4"/>
  <c r="AH10" i="4"/>
  <c r="AH21" i="4"/>
  <c r="AH17" i="4"/>
  <c r="AH13" i="4"/>
  <c r="AH7" i="4"/>
  <c r="AH9" i="4"/>
  <c r="AH12" i="4"/>
  <c r="AH5" i="4"/>
  <c r="Y18" i="4"/>
  <c r="Y14" i="4"/>
  <c r="Y10" i="4"/>
  <c r="Y6" i="4"/>
  <c r="Y21" i="4"/>
  <c r="Y17" i="4"/>
  <c r="Y13" i="4"/>
  <c r="Y9" i="4"/>
  <c r="Y5" i="4"/>
  <c r="Y20" i="4"/>
  <c r="Y16" i="4"/>
  <c r="Y12" i="4"/>
  <c r="Y8" i="4"/>
  <c r="Y19" i="4"/>
  <c r="Y15" i="4"/>
  <c r="Y11" i="4"/>
  <c r="Y7" i="4"/>
  <c r="AO18" i="4"/>
  <c r="AO14" i="4"/>
  <c r="AO10" i="4"/>
  <c r="AO6" i="4"/>
  <c r="AO21" i="4"/>
  <c r="AO17" i="4"/>
  <c r="AO13" i="4"/>
  <c r="AO9" i="4"/>
  <c r="AO5" i="4"/>
  <c r="AO20" i="4"/>
  <c r="AO16" i="4"/>
  <c r="AO12" i="4"/>
  <c r="AO8" i="4"/>
  <c r="AO19" i="4"/>
  <c r="AO15" i="4"/>
  <c r="AO11" i="4"/>
  <c r="AO7" i="4"/>
  <c r="AF12" i="4"/>
  <c r="AF8" i="4"/>
  <c r="AF20" i="4"/>
  <c r="AF16" i="4"/>
  <c r="AF19" i="4"/>
  <c r="AF15" i="4"/>
  <c r="AF11" i="4"/>
  <c r="AF7" i="4"/>
  <c r="AF10" i="4"/>
  <c r="AF6" i="4"/>
  <c r="AF18" i="4"/>
  <c r="AF14" i="4"/>
  <c r="AF21" i="4"/>
  <c r="AF17" i="4"/>
  <c r="AF13" i="4"/>
  <c r="AF9" i="4"/>
  <c r="AF5" i="4"/>
  <c r="AA18" i="4"/>
  <c r="AA14" i="4"/>
  <c r="AA10" i="4"/>
  <c r="AA6" i="4"/>
  <c r="AA21" i="4"/>
  <c r="AA17" i="4"/>
  <c r="AA13" i="4"/>
  <c r="AA9" i="4"/>
  <c r="AA20" i="4"/>
  <c r="AA12" i="4"/>
  <c r="AA16" i="4"/>
  <c r="AA8" i="4"/>
  <c r="AA11" i="4"/>
  <c r="AA7" i="4"/>
  <c r="AA19" i="4"/>
  <c r="AA15" i="4"/>
  <c r="AA5" i="4"/>
  <c r="AG20" i="4"/>
  <c r="AG16" i="4"/>
  <c r="AG12" i="4"/>
  <c r="AG8" i="4"/>
  <c r="AG19" i="4"/>
  <c r="AG15" i="4"/>
  <c r="AG11" i="4"/>
  <c r="AG7" i="4"/>
  <c r="AG18" i="4"/>
  <c r="AG14" i="4"/>
  <c r="AG10" i="4"/>
  <c r="AG6" i="4"/>
  <c r="AG21" i="4"/>
  <c r="AG17" i="4"/>
  <c r="AG13" i="4"/>
  <c r="AG9" i="4"/>
  <c r="AG5" i="4"/>
  <c r="AM19" i="4"/>
  <c r="AM15" i="4"/>
  <c r="AM11" i="4"/>
  <c r="AM7" i="4"/>
  <c r="AM6" i="4"/>
  <c r="AM18" i="4"/>
  <c r="AM14" i="4"/>
  <c r="AM10" i="4"/>
  <c r="AM9" i="4"/>
  <c r="AM16" i="4"/>
  <c r="AM12" i="4"/>
  <c r="AM8" i="4"/>
  <c r="AM20" i="4"/>
  <c r="AM21" i="4"/>
  <c r="AM17" i="4"/>
  <c r="AM13" i="4"/>
  <c r="AM5" i="4"/>
  <c r="AD9" i="4"/>
  <c r="AD5" i="4"/>
  <c r="AD13" i="4"/>
  <c r="AD20" i="4"/>
  <c r="AD16" i="4"/>
  <c r="AD12" i="4"/>
  <c r="AD8" i="4"/>
  <c r="AD19" i="4"/>
  <c r="AD15" i="4"/>
  <c r="AD11" i="4"/>
  <c r="AD7" i="4"/>
  <c r="AD6" i="4"/>
  <c r="AD18" i="4"/>
  <c r="AD14" i="4"/>
  <c r="AD10" i="4"/>
  <c r="AD21" i="4"/>
  <c r="AD17" i="4"/>
  <c r="AI20" i="4"/>
  <c r="AI16" i="4"/>
  <c r="AI12" i="4"/>
  <c r="AI8" i="4"/>
  <c r="AI19" i="4"/>
  <c r="AI15" i="4"/>
  <c r="AI11" i="4"/>
  <c r="AI6" i="4"/>
  <c r="AI21" i="4"/>
  <c r="AI10" i="4"/>
  <c r="AI18" i="4"/>
  <c r="AI14" i="4"/>
  <c r="AI17" i="4"/>
  <c r="AI13" i="4"/>
  <c r="AI9" i="4"/>
  <c r="AI5" i="4"/>
  <c r="AI7" i="4"/>
  <c r="Z18" i="4"/>
  <c r="Z14" i="4"/>
  <c r="Z9" i="4"/>
  <c r="Z13" i="4"/>
  <c r="Z5" i="4"/>
  <c r="Z21" i="4"/>
  <c r="Z17" i="4"/>
  <c r="Z7" i="4"/>
  <c r="Z20" i="4"/>
  <c r="Z16" i="4"/>
  <c r="Z12" i="4"/>
  <c r="Z8" i="4"/>
  <c r="Z19" i="4"/>
  <c r="Z15" i="4"/>
  <c r="Z11" i="4"/>
  <c r="Z10" i="4"/>
  <c r="Z6" i="4"/>
  <c r="I4" i="4"/>
  <c r="R4" i="4"/>
  <c r="AN4" i="4" s="1"/>
  <c r="G4" i="4"/>
  <c r="AC4" i="4" s="1"/>
  <c r="P4" i="4"/>
  <c r="AL4" i="4" s="1"/>
  <c r="O4" i="4"/>
  <c r="AK4" i="4" s="1"/>
  <c r="N4" i="4"/>
  <c r="AJ4" i="4" s="1"/>
  <c r="F4" i="4"/>
  <c r="AB4" i="4" s="1"/>
  <c r="L4" i="4"/>
  <c r="AH4" i="4" s="1"/>
  <c r="C4" i="4"/>
  <c r="Y4" i="4" s="1"/>
  <c r="S4" i="4"/>
  <c r="AO4" i="4" s="1"/>
  <c r="J4" i="4"/>
  <c r="AF4" i="4" s="1"/>
  <c r="E4" i="4"/>
  <c r="AA4" i="4" s="1"/>
  <c r="K4" i="4"/>
  <c r="AG4" i="4" s="1"/>
  <c r="Q4" i="4"/>
  <c r="AM4" i="4" s="1"/>
  <c r="H4" i="4"/>
  <c r="AD4" i="4" s="1"/>
  <c r="M4" i="4"/>
  <c r="AI4" i="4" s="1"/>
  <c r="D4" i="4"/>
  <c r="Z4" i="4" s="1"/>
  <c r="AD15" i="3"/>
  <c r="AC15" i="3"/>
  <c r="AB15" i="3"/>
  <c r="AA15" i="3"/>
  <c r="AC5" i="3"/>
  <c r="AB5" i="3"/>
  <c r="AA5" i="3"/>
  <c r="AD5" i="3"/>
  <c r="AA9" i="3"/>
  <c r="AD9" i="3"/>
  <c r="AC9" i="3"/>
  <c r="AB9" i="3"/>
  <c r="AD22" i="3"/>
  <c r="AC22" i="3"/>
  <c r="AB22" i="3"/>
  <c r="AA22" i="3"/>
  <c r="AD17" i="3"/>
  <c r="AB17" i="3"/>
  <c r="AA17" i="3"/>
  <c r="AC17" i="3"/>
  <c r="AD6" i="3"/>
  <c r="AC6" i="3"/>
  <c r="AA6" i="3"/>
  <c r="AB6" i="3"/>
  <c r="AD13" i="3"/>
  <c r="AC13" i="3"/>
  <c r="AA13" i="3"/>
  <c r="AB13" i="3"/>
  <c r="AC10" i="3"/>
  <c r="AB10" i="3"/>
  <c r="AA10" i="3"/>
  <c r="AD10" i="3"/>
  <c r="AD20" i="3"/>
  <c r="AC20" i="3"/>
  <c r="AB20" i="3"/>
  <c r="AA20" i="3"/>
  <c r="AD16" i="3"/>
  <c r="AC16" i="3"/>
  <c r="AB16" i="3"/>
  <c r="AA16" i="3"/>
  <c r="AC12" i="3"/>
  <c r="AB12" i="3"/>
  <c r="AA12" i="3"/>
  <c r="AD12" i="3"/>
  <c r="AA14" i="3"/>
  <c r="AD14" i="3"/>
  <c r="AC14" i="3"/>
  <c r="AB14" i="3"/>
  <c r="AA18" i="3"/>
  <c r="AC18" i="3"/>
  <c r="AD18" i="3"/>
  <c r="AB18" i="3"/>
  <c r="AD21" i="3"/>
  <c r="AB21" i="3"/>
  <c r="AC21" i="3"/>
  <c r="AA21" i="3"/>
  <c r="AD24" i="3"/>
  <c r="AC24" i="3"/>
  <c r="AB24" i="3"/>
  <c r="AA24" i="3"/>
  <c r="AD23" i="3"/>
  <c r="AA23" i="3"/>
  <c r="AC23" i="3"/>
  <c r="AB23" i="3"/>
  <c r="AB7" i="3"/>
  <c r="AD7" i="3"/>
  <c r="AA7" i="3"/>
  <c r="AC7" i="3"/>
  <c r="AD8" i="3"/>
  <c r="AC8" i="3"/>
  <c r="AB8" i="3"/>
  <c r="AA8" i="3"/>
  <c r="AD19" i="3"/>
  <c r="AC19" i="3"/>
  <c r="AB19" i="3"/>
  <c r="AA19" i="3"/>
  <c r="AD11" i="3"/>
  <c r="AA11" i="3"/>
  <c r="AC11" i="3"/>
  <c r="AB11" i="3"/>
  <c r="Z20" i="3"/>
  <c r="Z10" i="3"/>
  <c r="Z16" i="3"/>
  <c r="Z12" i="3"/>
  <c r="Z14" i="3"/>
  <c r="Z18" i="3"/>
  <c r="Z21" i="3"/>
  <c r="Z24" i="3"/>
  <c r="Z23" i="3"/>
  <c r="Z7" i="3"/>
  <c r="Z8" i="3"/>
  <c r="Z19" i="3"/>
  <c r="Z13" i="3"/>
  <c r="Z11" i="3"/>
  <c r="Z15" i="3"/>
  <c r="Z5" i="3"/>
  <c r="Z9" i="3"/>
  <c r="Z22" i="3"/>
  <c r="Z17" i="3"/>
  <c r="Z6" i="3"/>
  <c r="SD20" i="2"/>
  <c r="RN20" i="2"/>
  <c r="QX20" i="2"/>
  <c r="QH20" i="2"/>
  <c r="PR20" i="2"/>
  <c r="PB20" i="2"/>
  <c r="OL20" i="2"/>
  <c r="NV20" i="2"/>
  <c r="NF20" i="2"/>
  <c r="MP20" i="2"/>
  <c r="LZ20" i="2"/>
  <c r="LJ20" i="2"/>
  <c r="KT20" i="2"/>
  <c r="KD20" i="2"/>
  <c r="ON20" i="2"/>
  <c r="SC20" i="2"/>
  <c r="RM20" i="2"/>
  <c r="QW20" i="2"/>
  <c r="QG20" i="2"/>
  <c r="PQ20" i="2"/>
  <c r="PA20" i="2"/>
  <c r="OK20" i="2"/>
  <c r="NU20" i="2"/>
  <c r="NE20" i="2"/>
  <c r="MO20" i="2"/>
  <c r="LY20" i="2"/>
  <c r="LI20" i="2"/>
  <c r="KS20" i="2"/>
  <c r="KC20" i="2"/>
  <c r="MR20" i="2"/>
  <c r="SB20" i="2"/>
  <c r="RL20" i="2"/>
  <c r="QV20" i="2"/>
  <c r="QF20" i="2"/>
  <c r="PP20" i="2"/>
  <c r="OZ20" i="2"/>
  <c r="OJ20" i="2"/>
  <c r="NT20" i="2"/>
  <c r="ND20" i="2"/>
  <c r="MN20" i="2"/>
  <c r="LX20" i="2"/>
  <c r="LH20" i="2"/>
  <c r="KR20" i="2"/>
  <c r="KB20" i="2"/>
  <c r="SA20" i="2"/>
  <c r="RK20" i="2"/>
  <c r="QU20" i="2"/>
  <c r="QE20" i="2"/>
  <c r="PO20" i="2"/>
  <c r="OY20" i="2"/>
  <c r="OI20" i="2"/>
  <c r="NS20" i="2"/>
  <c r="NC20" i="2"/>
  <c r="MM20" i="2"/>
  <c r="LW20" i="2"/>
  <c r="LG20" i="2"/>
  <c r="KQ20" i="2"/>
  <c r="NH20" i="2"/>
  <c r="SP20" i="2"/>
  <c r="RZ20" i="2"/>
  <c r="RJ20" i="2"/>
  <c r="QT20" i="2"/>
  <c r="QD20" i="2"/>
  <c r="PN20" i="2"/>
  <c r="OX20" i="2"/>
  <c r="OH20" i="2"/>
  <c r="NR20" i="2"/>
  <c r="NB20" i="2"/>
  <c r="ML20" i="2"/>
  <c r="LV20" i="2"/>
  <c r="LF20" i="2"/>
  <c r="KP20" i="2"/>
  <c r="QZ20" i="2"/>
  <c r="SO20" i="2"/>
  <c r="RY20" i="2"/>
  <c r="RI20" i="2"/>
  <c r="QS20" i="2"/>
  <c r="QC20" i="2"/>
  <c r="PM20" i="2"/>
  <c r="OW20" i="2"/>
  <c r="OG20" i="2"/>
  <c r="NQ20" i="2"/>
  <c r="NA20" i="2"/>
  <c r="MK20" i="2"/>
  <c r="LU20" i="2"/>
  <c r="LE20" i="2"/>
  <c r="KO20" i="2"/>
  <c r="SN20" i="2"/>
  <c r="RX20" i="2"/>
  <c r="RH20" i="2"/>
  <c r="QR20" i="2"/>
  <c r="QB20" i="2"/>
  <c r="PL20" i="2"/>
  <c r="OV20" i="2"/>
  <c r="OF20" i="2"/>
  <c r="NP20" i="2"/>
  <c r="MZ20" i="2"/>
  <c r="MJ20" i="2"/>
  <c r="LT20" i="2"/>
  <c r="LD20" i="2"/>
  <c r="KN20" i="2"/>
  <c r="PT20" i="2"/>
  <c r="SM20" i="2"/>
  <c r="RW20" i="2"/>
  <c r="RG20" i="2"/>
  <c r="QQ20" i="2"/>
  <c r="QA20" i="2"/>
  <c r="PK20" i="2"/>
  <c r="OU20" i="2"/>
  <c r="OE20" i="2"/>
  <c r="NO20" i="2"/>
  <c r="MY20" i="2"/>
  <c r="MI20" i="2"/>
  <c r="LS20" i="2"/>
  <c r="LC20" i="2"/>
  <c r="KM20" i="2"/>
  <c r="PD20" i="2"/>
  <c r="KF20" i="2"/>
  <c r="SL20" i="2"/>
  <c r="RV20" i="2"/>
  <c r="RF20" i="2"/>
  <c r="QP20" i="2"/>
  <c r="PZ20" i="2"/>
  <c r="PJ20" i="2"/>
  <c r="OT20" i="2"/>
  <c r="OD20" i="2"/>
  <c r="NN20" i="2"/>
  <c r="MX20" i="2"/>
  <c r="MH20" i="2"/>
  <c r="LR20" i="2"/>
  <c r="LB20" i="2"/>
  <c r="KL20" i="2"/>
  <c r="SF20" i="2"/>
  <c r="NX20" i="2"/>
  <c r="KV20" i="2"/>
  <c r="SK20" i="2"/>
  <c r="RU20" i="2"/>
  <c r="RE20" i="2"/>
  <c r="QO20" i="2"/>
  <c r="PY20" i="2"/>
  <c r="PI20" i="2"/>
  <c r="OS20" i="2"/>
  <c r="OC20" i="2"/>
  <c r="NM20" i="2"/>
  <c r="MW20" i="2"/>
  <c r="MG20" i="2"/>
  <c r="LQ20" i="2"/>
  <c r="LA20" i="2"/>
  <c r="KK20" i="2"/>
  <c r="SJ20" i="2"/>
  <c r="RT20" i="2"/>
  <c r="RD20" i="2"/>
  <c r="QN20" i="2"/>
  <c r="PX20" i="2"/>
  <c r="PH20" i="2"/>
  <c r="OR20" i="2"/>
  <c r="OB20" i="2"/>
  <c r="NL20" i="2"/>
  <c r="MV20" i="2"/>
  <c r="MF20" i="2"/>
  <c r="LP20" i="2"/>
  <c r="KZ20" i="2"/>
  <c r="KJ20" i="2"/>
  <c r="RP20" i="2"/>
  <c r="SI20" i="2"/>
  <c r="RS20" i="2"/>
  <c r="RC20" i="2"/>
  <c r="QM20" i="2"/>
  <c r="PW20" i="2"/>
  <c r="PG20" i="2"/>
  <c r="OQ20" i="2"/>
  <c r="OA20" i="2"/>
  <c r="NK20" i="2"/>
  <c r="MU20" i="2"/>
  <c r="ME20" i="2"/>
  <c r="LO20" i="2"/>
  <c r="KY20" i="2"/>
  <c r="KI20" i="2"/>
  <c r="SH20" i="2"/>
  <c r="RR20" i="2"/>
  <c r="RB20" i="2"/>
  <c r="QL20" i="2"/>
  <c r="PV20" i="2"/>
  <c r="PF20" i="2"/>
  <c r="OP20" i="2"/>
  <c r="NZ20" i="2"/>
  <c r="NJ20" i="2"/>
  <c r="MT20" i="2"/>
  <c r="MD20" i="2"/>
  <c r="LN20" i="2"/>
  <c r="KX20" i="2"/>
  <c r="KH20" i="2"/>
  <c r="SG20" i="2"/>
  <c r="RQ20" i="2"/>
  <c r="RA20" i="2"/>
  <c r="QK20" i="2"/>
  <c r="PU20" i="2"/>
  <c r="PE20" i="2"/>
  <c r="OO20" i="2"/>
  <c r="NY20" i="2"/>
  <c r="NI20" i="2"/>
  <c r="MS20" i="2"/>
  <c r="MC20" i="2"/>
  <c r="LM20" i="2"/>
  <c r="KW20" i="2"/>
  <c r="KG20" i="2"/>
  <c r="QJ20" i="2"/>
  <c r="MB20" i="2"/>
  <c r="SE20" i="2"/>
  <c r="RO20" i="2"/>
  <c r="QY20" i="2"/>
  <c r="QI20" i="2"/>
  <c r="PS20" i="2"/>
  <c r="PC20" i="2"/>
  <c r="OM20" i="2"/>
  <c r="NW20" i="2"/>
  <c r="NG20" i="2"/>
  <c r="MQ20" i="2"/>
  <c r="MA20" i="2"/>
  <c r="LK20" i="2"/>
  <c r="KU20" i="2"/>
  <c r="KE20" i="2"/>
  <c r="LL20" i="2"/>
  <c r="SN10" i="2"/>
  <c r="RX10" i="2"/>
  <c r="RH10" i="2"/>
  <c r="QR10" i="2"/>
  <c r="QB10" i="2"/>
  <c r="PL10" i="2"/>
  <c r="OV10" i="2"/>
  <c r="OF10" i="2"/>
  <c r="NP10" i="2"/>
  <c r="MZ10" i="2"/>
  <c r="MJ10" i="2"/>
  <c r="LT10" i="2"/>
  <c r="LD10" i="2"/>
  <c r="KN10" i="2"/>
  <c r="OH10" i="2"/>
  <c r="SM10" i="2"/>
  <c r="RW10" i="2"/>
  <c r="RG10" i="2"/>
  <c r="QQ10" i="2"/>
  <c r="QA10" i="2"/>
  <c r="PK10" i="2"/>
  <c r="OU10" i="2"/>
  <c r="OE10" i="2"/>
  <c r="NO10" i="2"/>
  <c r="MY10" i="2"/>
  <c r="MI10" i="2"/>
  <c r="LS10" i="2"/>
  <c r="LC10" i="2"/>
  <c r="KM10" i="2"/>
  <c r="NB10" i="2"/>
  <c r="SL10" i="2"/>
  <c r="RV10" i="2"/>
  <c r="RF10" i="2"/>
  <c r="QP10" i="2"/>
  <c r="PZ10" i="2"/>
  <c r="PJ10" i="2"/>
  <c r="OT10" i="2"/>
  <c r="OD10" i="2"/>
  <c r="NN10" i="2"/>
  <c r="MX10" i="2"/>
  <c r="MH10" i="2"/>
  <c r="LR10" i="2"/>
  <c r="LB10" i="2"/>
  <c r="KL10" i="2"/>
  <c r="SK10" i="2"/>
  <c r="RU10" i="2"/>
  <c r="RE10" i="2"/>
  <c r="QO10" i="2"/>
  <c r="PY10" i="2"/>
  <c r="PI10" i="2"/>
  <c r="OS10" i="2"/>
  <c r="OC10" i="2"/>
  <c r="NM10" i="2"/>
  <c r="MW10" i="2"/>
  <c r="MG10" i="2"/>
  <c r="LQ10" i="2"/>
  <c r="LA10" i="2"/>
  <c r="KK10" i="2"/>
  <c r="SJ10" i="2"/>
  <c r="RT10" i="2"/>
  <c r="RD10" i="2"/>
  <c r="QN10" i="2"/>
  <c r="PX10" i="2"/>
  <c r="PH10" i="2"/>
  <c r="OR10" i="2"/>
  <c r="OB10" i="2"/>
  <c r="NL10" i="2"/>
  <c r="MV10" i="2"/>
  <c r="MF10" i="2"/>
  <c r="LP10" i="2"/>
  <c r="KZ10" i="2"/>
  <c r="KJ10" i="2"/>
  <c r="RJ10" i="2"/>
  <c r="SI10" i="2"/>
  <c r="RS10" i="2"/>
  <c r="RC10" i="2"/>
  <c r="QM10" i="2"/>
  <c r="PW10" i="2"/>
  <c r="PG10" i="2"/>
  <c r="OQ10" i="2"/>
  <c r="OA10" i="2"/>
  <c r="NK10" i="2"/>
  <c r="MU10" i="2"/>
  <c r="ME10" i="2"/>
  <c r="LO10" i="2"/>
  <c r="KY10" i="2"/>
  <c r="KI10" i="2"/>
  <c r="SH10" i="2"/>
  <c r="RR10" i="2"/>
  <c r="RB10" i="2"/>
  <c r="QL10" i="2"/>
  <c r="PV10" i="2"/>
  <c r="PF10" i="2"/>
  <c r="OP10" i="2"/>
  <c r="NZ10" i="2"/>
  <c r="NJ10" i="2"/>
  <c r="MT10" i="2"/>
  <c r="MD10" i="2"/>
  <c r="LN10" i="2"/>
  <c r="KX10" i="2"/>
  <c r="KH10" i="2"/>
  <c r="PN10" i="2"/>
  <c r="SG10" i="2"/>
  <c r="RQ10" i="2"/>
  <c r="RA10" i="2"/>
  <c r="QK10" i="2"/>
  <c r="PU10" i="2"/>
  <c r="PE10" i="2"/>
  <c r="OO10" i="2"/>
  <c r="NY10" i="2"/>
  <c r="NI10" i="2"/>
  <c r="MS10" i="2"/>
  <c r="MC10" i="2"/>
  <c r="LM10" i="2"/>
  <c r="KW10" i="2"/>
  <c r="KG10" i="2"/>
  <c r="OX10" i="2"/>
  <c r="SF10" i="2"/>
  <c r="RP10" i="2"/>
  <c r="QZ10" i="2"/>
  <c r="QJ10" i="2"/>
  <c r="PT10" i="2"/>
  <c r="PD10" i="2"/>
  <c r="ON10" i="2"/>
  <c r="NX10" i="2"/>
  <c r="NH10" i="2"/>
  <c r="MR10" i="2"/>
  <c r="MB10" i="2"/>
  <c r="LL10" i="2"/>
  <c r="KV10" i="2"/>
  <c r="KF10" i="2"/>
  <c r="SP10" i="2"/>
  <c r="ML10" i="2"/>
  <c r="SE10" i="2"/>
  <c r="RO10" i="2"/>
  <c r="QY10" i="2"/>
  <c r="QI10" i="2"/>
  <c r="PS10" i="2"/>
  <c r="PC10" i="2"/>
  <c r="OM10" i="2"/>
  <c r="NW10" i="2"/>
  <c r="NG10" i="2"/>
  <c r="MQ10" i="2"/>
  <c r="MA10" i="2"/>
  <c r="LK10" i="2"/>
  <c r="KU10" i="2"/>
  <c r="KE10" i="2"/>
  <c r="QD10" i="2"/>
  <c r="KP10" i="2"/>
  <c r="SD10" i="2"/>
  <c r="RN10" i="2"/>
  <c r="QX10" i="2"/>
  <c r="QH10" i="2"/>
  <c r="PR10" i="2"/>
  <c r="PB10" i="2"/>
  <c r="OL10" i="2"/>
  <c r="NV10" i="2"/>
  <c r="NF10" i="2"/>
  <c r="MP10" i="2"/>
  <c r="LZ10" i="2"/>
  <c r="LJ10" i="2"/>
  <c r="KT10" i="2"/>
  <c r="KD10" i="2"/>
  <c r="QT10" i="2"/>
  <c r="LF10" i="2"/>
  <c r="SC10" i="2"/>
  <c r="RM10" i="2"/>
  <c r="QW10" i="2"/>
  <c r="QG10" i="2"/>
  <c r="PQ10" i="2"/>
  <c r="PA10" i="2"/>
  <c r="OK10" i="2"/>
  <c r="NU10" i="2"/>
  <c r="NE10" i="2"/>
  <c r="MO10" i="2"/>
  <c r="LY10" i="2"/>
  <c r="LI10" i="2"/>
  <c r="KS10" i="2"/>
  <c r="KC10" i="2"/>
  <c r="NR10" i="2"/>
  <c r="SB10" i="2"/>
  <c r="RL10" i="2"/>
  <c r="QV10" i="2"/>
  <c r="QF10" i="2"/>
  <c r="PP10" i="2"/>
  <c r="OZ10" i="2"/>
  <c r="OJ10" i="2"/>
  <c r="NT10" i="2"/>
  <c r="ND10" i="2"/>
  <c r="MN10" i="2"/>
  <c r="LX10" i="2"/>
  <c r="LH10" i="2"/>
  <c r="KR10" i="2"/>
  <c r="KB10" i="2"/>
  <c r="RZ10" i="2"/>
  <c r="LV10" i="2"/>
  <c r="SA10" i="2"/>
  <c r="RK10" i="2"/>
  <c r="QU10" i="2"/>
  <c r="QE10" i="2"/>
  <c r="PO10" i="2"/>
  <c r="OY10" i="2"/>
  <c r="OI10" i="2"/>
  <c r="NS10" i="2"/>
  <c r="NC10" i="2"/>
  <c r="MM10" i="2"/>
  <c r="LW10" i="2"/>
  <c r="LG10" i="2"/>
  <c r="KQ10" i="2"/>
  <c r="SO10" i="2"/>
  <c r="RY10" i="2"/>
  <c r="RI10" i="2"/>
  <c r="QS10" i="2"/>
  <c r="QC10" i="2"/>
  <c r="PM10" i="2"/>
  <c r="OW10" i="2"/>
  <c r="OG10" i="2"/>
  <c r="NQ10" i="2"/>
  <c r="NA10" i="2"/>
  <c r="MK10" i="2"/>
  <c r="LU10" i="2"/>
  <c r="LE10" i="2"/>
  <c r="KO10" i="2"/>
  <c r="SH16" i="2"/>
  <c r="RR16" i="2"/>
  <c r="RB16" i="2"/>
  <c r="QL16" i="2"/>
  <c r="PV16" i="2"/>
  <c r="PF16" i="2"/>
  <c r="OP16" i="2"/>
  <c r="NZ16" i="2"/>
  <c r="NJ16" i="2"/>
  <c r="MT16" i="2"/>
  <c r="MD16" i="2"/>
  <c r="LN16" i="2"/>
  <c r="KX16" i="2"/>
  <c r="KH16" i="2"/>
  <c r="MV16" i="2"/>
  <c r="SG16" i="2"/>
  <c r="RQ16" i="2"/>
  <c r="RA16" i="2"/>
  <c r="QK16" i="2"/>
  <c r="PU16" i="2"/>
  <c r="PE16" i="2"/>
  <c r="OO16" i="2"/>
  <c r="NY16" i="2"/>
  <c r="NI16" i="2"/>
  <c r="MS16" i="2"/>
  <c r="MC16" i="2"/>
  <c r="LM16" i="2"/>
  <c r="KW16" i="2"/>
  <c r="KG16" i="2"/>
  <c r="RD16" i="2"/>
  <c r="LP16" i="2"/>
  <c r="SF16" i="2"/>
  <c r="RP16" i="2"/>
  <c r="QZ16" i="2"/>
  <c r="QJ16" i="2"/>
  <c r="PT16" i="2"/>
  <c r="PD16" i="2"/>
  <c r="ON16" i="2"/>
  <c r="NX16" i="2"/>
  <c r="NH16" i="2"/>
  <c r="MR16" i="2"/>
  <c r="MB16" i="2"/>
  <c r="LL16" i="2"/>
  <c r="KV16" i="2"/>
  <c r="KF16" i="2"/>
  <c r="SE16" i="2"/>
  <c r="RO16" i="2"/>
  <c r="QY16" i="2"/>
  <c r="QI16" i="2"/>
  <c r="PS16" i="2"/>
  <c r="PC16" i="2"/>
  <c r="OM16" i="2"/>
  <c r="NW16" i="2"/>
  <c r="NG16" i="2"/>
  <c r="MQ16" i="2"/>
  <c r="MA16" i="2"/>
  <c r="LK16" i="2"/>
  <c r="KU16" i="2"/>
  <c r="KE16" i="2"/>
  <c r="SD16" i="2"/>
  <c r="RN16" i="2"/>
  <c r="QX16" i="2"/>
  <c r="QH16" i="2"/>
  <c r="PR16" i="2"/>
  <c r="PB16" i="2"/>
  <c r="OL16" i="2"/>
  <c r="NV16" i="2"/>
  <c r="NF16" i="2"/>
  <c r="MP16" i="2"/>
  <c r="LZ16" i="2"/>
  <c r="LJ16" i="2"/>
  <c r="KT16" i="2"/>
  <c r="KD16" i="2"/>
  <c r="RT16" i="2"/>
  <c r="KJ16" i="2"/>
  <c r="SC16" i="2"/>
  <c r="RM16" i="2"/>
  <c r="QW16" i="2"/>
  <c r="QG16" i="2"/>
  <c r="PQ16" i="2"/>
  <c r="PA16" i="2"/>
  <c r="OK16" i="2"/>
  <c r="NU16" i="2"/>
  <c r="NE16" i="2"/>
  <c r="MO16" i="2"/>
  <c r="LY16" i="2"/>
  <c r="LI16" i="2"/>
  <c r="KS16" i="2"/>
  <c r="KC16" i="2"/>
  <c r="SB16" i="2"/>
  <c r="RL16" i="2"/>
  <c r="QV16" i="2"/>
  <c r="QF16" i="2"/>
  <c r="PP16" i="2"/>
  <c r="OZ16" i="2"/>
  <c r="OJ16" i="2"/>
  <c r="NT16" i="2"/>
  <c r="ND16" i="2"/>
  <c r="MN16" i="2"/>
  <c r="LX16" i="2"/>
  <c r="LH16" i="2"/>
  <c r="KR16" i="2"/>
  <c r="KB16" i="2"/>
  <c r="NL16" i="2"/>
  <c r="SA16" i="2"/>
  <c r="RK16" i="2"/>
  <c r="QU16" i="2"/>
  <c r="QE16" i="2"/>
  <c r="PO16" i="2"/>
  <c r="OY16" i="2"/>
  <c r="OI16" i="2"/>
  <c r="NS16" i="2"/>
  <c r="NC16" i="2"/>
  <c r="MM16" i="2"/>
  <c r="LW16" i="2"/>
  <c r="LG16" i="2"/>
  <c r="KQ16" i="2"/>
  <c r="OR16" i="2"/>
  <c r="SP16" i="2"/>
  <c r="RZ16" i="2"/>
  <c r="RJ16" i="2"/>
  <c r="QT16" i="2"/>
  <c r="QD16" i="2"/>
  <c r="PN16" i="2"/>
  <c r="OX16" i="2"/>
  <c r="OH16" i="2"/>
  <c r="NR16" i="2"/>
  <c r="NB16" i="2"/>
  <c r="ML16" i="2"/>
  <c r="LV16" i="2"/>
  <c r="LF16" i="2"/>
  <c r="KP16" i="2"/>
  <c r="OB16" i="2"/>
  <c r="KZ16" i="2"/>
  <c r="SO16" i="2"/>
  <c r="RY16" i="2"/>
  <c r="RI16" i="2"/>
  <c r="QS16" i="2"/>
  <c r="QC16" i="2"/>
  <c r="PM16" i="2"/>
  <c r="OW16" i="2"/>
  <c r="OG16" i="2"/>
  <c r="NQ16" i="2"/>
  <c r="NA16" i="2"/>
  <c r="MK16" i="2"/>
  <c r="LU16" i="2"/>
  <c r="LE16" i="2"/>
  <c r="KO16" i="2"/>
  <c r="SN16" i="2"/>
  <c r="RX16" i="2"/>
  <c r="RH16" i="2"/>
  <c r="QR16" i="2"/>
  <c r="QB16" i="2"/>
  <c r="PL16" i="2"/>
  <c r="OV16" i="2"/>
  <c r="OF16" i="2"/>
  <c r="NP16" i="2"/>
  <c r="MZ16" i="2"/>
  <c r="MJ16" i="2"/>
  <c r="LT16" i="2"/>
  <c r="LD16" i="2"/>
  <c r="KN16" i="2"/>
  <c r="PX16" i="2"/>
  <c r="SM16" i="2"/>
  <c r="RW16" i="2"/>
  <c r="RG16" i="2"/>
  <c r="QQ16" i="2"/>
  <c r="QA16" i="2"/>
  <c r="PK16" i="2"/>
  <c r="OU16" i="2"/>
  <c r="OE16" i="2"/>
  <c r="NO16" i="2"/>
  <c r="MY16" i="2"/>
  <c r="MI16" i="2"/>
  <c r="LS16" i="2"/>
  <c r="LC16" i="2"/>
  <c r="KM16" i="2"/>
  <c r="PH16" i="2"/>
  <c r="SL16" i="2"/>
  <c r="RV16" i="2"/>
  <c r="RF16" i="2"/>
  <c r="QP16" i="2"/>
  <c r="PZ16" i="2"/>
  <c r="PJ16" i="2"/>
  <c r="OT16" i="2"/>
  <c r="OD16" i="2"/>
  <c r="NN16" i="2"/>
  <c r="MX16" i="2"/>
  <c r="MH16" i="2"/>
  <c r="LR16" i="2"/>
  <c r="LB16" i="2"/>
  <c r="KL16" i="2"/>
  <c r="QN16" i="2"/>
  <c r="SK16" i="2"/>
  <c r="RU16" i="2"/>
  <c r="RE16" i="2"/>
  <c r="QO16" i="2"/>
  <c r="PY16" i="2"/>
  <c r="PI16" i="2"/>
  <c r="OS16" i="2"/>
  <c r="OC16" i="2"/>
  <c r="NM16" i="2"/>
  <c r="MW16" i="2"/>
  <c r="MG16" i="2"/>
  <c r="LQ16" i="2"/>
  <c r="LA16" i="2"/>
  <c r="KK16" i="2"/>
  <c r="SJ16" i="2"/>
  <c r="MF16" i="2"/>
  <c r="SI16" i="2"/>
  <c r="RS16" i="2"/>
  <c r="RC16" i="2"/>
  <c r="QM16" i="2"/>
  <c r="PW16" i="2"/>
  <c r="PG16" i="2"/>
  <c r="OQ16" i="2"/>
  <c r="OA16" i="2"/>
  <c r="NK16" i="2"/>
  <c r="MU16" i="2"/>
  <c r="ME16" i="2"/>
  <c r="LO16" i="2"/>
  <c r="KY16" i="2"/>
  <c r="KI16" i="2"/>
  <c r="SL12" i="2"/>
  <c r="RV12" i="2"/>
  <c r="RF12" i="2"/>
  <c r="QP12" i="2"/>
  <c r="PZ12" i="2"/>
  <c r="PJ12" i="2"/>
  <c r="OT12" i="2"/>
  <c r="OD12" i="2"/>
  <c r="NN12" i="2"/>
  <c r="MX12" i="2"/>
  <c r="MH12" i="2"/>
  <c r="LR12" i="2"/>
  <c r="LB12" i="2"/>
  <c r="KL12" i="2"/>
  <c r="MJ12" i="2"/>
  <c r="SK12" i="2"/>
  <c r="RU12" i="2"/>
  <c r="RE12" i="2"/>
  <c r="QO12" i="2"/>
  <c r="PY12" i="2"/>
  <c r="PI12" i="2"/>
  <c r="OS12" i="2"/>
  <c r="OC12" i="2"/>
  <c r="NM12" i="2"/>
  <c r="MW12" i="2"/>
  <c r="MG12" i="2"/>
  <c r="LQ12" i="2"/>
  <c r="LA12" i="2"/>
  <c r="KK12" i="2"/>
  <c r="RH12" i="2"/>
  <c r="LT12" i="2"/>
  <c r="SJ12" i="2"/>
  <c r="RT12" i="2"/>
  <c r="RD12" i="2"/>
  <c r="QN12" i="2"/>
  <c r="PX12" i="2"/>
  <c r="PH12" i="2"/>
  <c r="OR12" i="2"/>
  <c r="OB12" i="2"/>
  <c r="NL12" i="2"/>
  <c r="MV12" i="2"/>
  <c r="MF12" i="2"/>
  <c r="LP12" i="2"/>
  <c r="KZ12" i="2"/>
  <c r="KJ12" i="2"/>
  <c r="SI12" i="2"/>
  <c r="RS12" i="2"/>
  <c r="RC12" i="2"/>
  <c r="QM12" i="2"/>
  <c r="PW12" i="2"/>
  <c r="PG12" i="2"/>
  <c r="OQ12" i="2"/>
  <c r="OA12" i="2"/>
  <c r="NK12" i="2"/>
  <c r="MU12" i="2"/>
  <c r="ME12" i="2"/>
  <c r="LO12" i="2"/>
  <c r="KY12" i="2"/>
  <c r="KI12" i="2"/>
  <c r="KN12" i="2"/>
  <c r="SH12" i="2"/>
  <c r="RR12" i="2"/>
  <c r="RB12" i="2"/>
  <c r="QL12" i="2"/>
  <c r="PV12" i="2"/>
  <c r="PF12" i="2"/>
  <c r="OP12" i="2"/>
  <c r="NZ12" i="2"/>
  <c r="NJ12" i="2"/>
  <c r="MT12" i="2"/>
  <c r="MD12" i="2"/>
  <c r="LN12" i="2"/>
  <c r="KX12" i="2"/>
  <c r="KH12" i="2"/>
  <c r="SG12" i="2"/>
  <c r="RQ12" i="2"/>
  <c r="RA12" i="2"/>
  <c r="QK12" i="2"/>
  <c r="PU12" i="2"/>
  <c r="PE12" i="2"/>
  <c r="OO12" i="2"/>
  <c r="NY12" i="2"/>
  <c r="NI12" i="2"/>
  <c r="MS12" i="2"/>
  <c r="MC12" i="2"/>
  <c r="LM12" i="2"/>
  <c r="KW12" i="2"/>
  <c r="KG12" i="2"/>
  <c r="SF12" i="2"/>
  <c r="RP12" i="2"/>
  <c r="QZ12" i="2"/>
  <c r="QJ12" i="2"/>
  <c r="PT12" i="2"/>
  <c r="PD12" i="2"/>
  <c r="ON12" i="2"/>
  <c r="NX12" i="2"/>
  <c r="NH12" i="2"/>
  <c r="MR12" i="2"/>
  <c r="MB12" i="2"/>
  <c r="LL12" i="2"/>
  <c r="KV12" i="2"/>
  <c r="KF12" i="2"/>
  <c r="QB12" i="2"/>
  <c r="SE12" i="2"/>
  <c r="RO12" i="2"/>
  <c r="QY12" i="2"/>
  <c r="QI12" i="2"/>
  <c r="PS12" i="2"/>
  <c r="PC12" i="2"/>
  <c r="OM12" i="2"/>
  <c r="NW12" i="2"/>
  <c r="NG12" i="2"/>
  <c r="MQ12" i="2"/>
  <c r="MA12" i="2"/>
  <c r="LK12" i="2"/>
  <c r="KU12" i="2"/>
  <c r="KE12" i="2"/>
  <c r="LD12" i="2"/>
  <c r="SD12" i="2"/>
  <c r="RN12" i="2"/>
  <c r="QX12" i="2"/>
  <c r="QH12" i="2"/>
  <c r="PR12" i="2"/>
  <c r="PB12" i="2"/>
  <c r="OL12" i="2"/>
  <c r="NV12" i="2"/>
  <c r="NF12" i="2"/>
  <c r="MP12" i="2"/>
  <c r="LZ12" i="2"/>
  <c r="LJ12" i="2"/>
  <c r="KT12" i="2"/>
  <c r="KD12" i="2"/>
  <c r="QR12" i="2"/>
  <c r="OF12" i="2"/>
  <c r="SC12" i="2"/>
  <c r="RM12" i="2"/>
  <c r="QW12" i="2"/>
  <c r="QG12" i="2"/>
  <c r="PQ12" i="2"/>
  <c r="PA12" i="2"/>
  <c r="OK12" i="2"/>
  <c r="NU12" i="2"/>
  <c r="NE12" i="2"/>
  <c r="MO12" i="2"/>
  <c r="LY12" i="2"/>
  <c r="LI12" i="2"/>
  <c r="KS12" i="2"/>
  <c r="KC12" i="2"/>
  <c r="OV12" i="2"/>
  <c r="SB12" i="2"/>
  <c r="RL12" i="2"/>
  <c r="QV12" i="2"/>
  <c r="QF12" i="2"/>
  <c r="PP12" i="2"/>
  <c r="OZ12" i="2"/>
  <c r="OJ12" i="2"/>
  <c r="NT12" i="2"/>
  <c r="ND12" i="2"/>
  <c r="MN12" i="2"/>
  <c r="LX12" i="2"/>
  <c r="LH12" i="2"/>
  <c r="KR12" i="2"/>
  <c r="KB12" i="2"/>
  <c r="PL12" i="2"/>
  <c r="SA12" i="2"/>
  <c r="RK12" i="2"/>
  <c r="QU12" i="2"/>
  <c r="QE12" i="2"/>
  <c r="PO12" i="2"/>
  <c r="OY12" i="2"/>
  <c r="OI12" i="2"/>
  <c r="NS12" i="2"/>
  <c r="NC12" i="2"/>
  <c r="MM12" i="2"/>
  <c r="LW12" i="2"/>
  <c r="LG12" i="2"/>
  <c r="KQ12" i="2"/>
  <c r="SN12" i="2"/>
  <c r="NP12" i="2"/>
  <c r="SP12" i="2"/>
  <c r="RZ12" i="2"/>
  <c r="RJ12" i="2"/>
  <c r="QT12" i="2"/>
  <c r="QD12" i="2"/>
  <c r="PN12" i="2"/>
  <c r="OX12" i="2"/>
  <c r="OH12" i="2"/>
  <c r="NR12" i="2"/>
  <c r="NB12" i="2"/>
  <c r="ML12" i="2"/>
  <c r="LV12" i="2"/>
  <c r="LF12" i="2"/>
  <c r="KP12" i="2"/>
  <c r="RX12" i="2"/>
  <c r="MZ12" i="2"/>
  <c r="SO12" i="2"/>
  <c r="RY12" i="2"/>
  <c r="RI12" i="2"/>
  <c r="QS12" i="2"/>
  <c r="QC12" i="2"/>
  <c r="PM12" i="2"/>
  <c r="OW12" i="2"/>
  <c r="OG12" i="2"/>
  <c r="NQ12" i="2"/>
  <c r="NA12" i="2"/>
  <c r="MK12" i="2"/>
  <c r="LU12" i="2"/>
  <c r="LE12" i="2"/>
  <c r="KO12" i="2"/>
  <c r="SM12" i="2"/>
  <c r="RW12" i="2"/>
  <c r="RG12" i="2"/>
  <c r="QQ12" i="2"/>
  <c r="QA12" i="2"/>
  <c r="PK12" i="2"/>
  <c r="OU12" i="2"/>
  <c r="OE12" i="2"/>
  <c r="NO12" i="2"/>
  <c r="MY12" i="2"/>
  <c r="MI12" i="2"/>
  <c r="LS12" i="2"/>
  <c r="LC12" i="2"/>
  <c r="KM12" i="2"/>
  <c r="SJ14" i="2"/>
  <c r="RT14" i="2"/>
  <c r="RD14" i="2"/>
  <c r="QN14" i="2"/>
  <c r="PX14" i="2"/>
  <c r="PH14" i="2"/>
  <c r="OR14" i="2"/>
  <c r="OB14" i="2"/>
  <c r="NL14" i="2"/>
  <c r="MV14" i="2"/>
  <c r="MF14" i="2"/>
  <c r="LP14" i="2"/>
  <c r="KZ14" i="2"/>
  <c r="KJ14" i="2"/>
  <c r="NN14" i="2"/>
  <c r="SI14" i="2"/>
  <c r="RS14" i="2"/>
  <c r="RC14" i="2"/>
  <c r="QM14" i="2"/>
  <c r="PW14" i="2"/>
  <c r="PG14" i="2"/>
  <c r="OQ14" i="2"/>
  <c r="OA14" i="2"/>
  <c r="NK14" i="2"/>
  <c r="MU14" i="2"/>
  <c r="ME14" i="2"/>
  <c r="LO14" i="2"/>
  <c r="KY14" i="2"/>
  <c r="KI14" i="2"/>
  <c r="QP14" i="2"/>
  <c r="LR14" i="2"/>
  <c r="SH14" i="2"/>
  <c r="RR14" i="2"/>
  <c r="RB14" i="2"/>
  <c r="QL14" i="2"/>
  <c r="PV14" i="2"/>
  <c r="PF14" i="2"/>
  <c r="OP14" i="2"/>
  <c r="NZ14" i="2"/>
  <c r="NJ14" i="2"/>
  <c r="MT14" i="2"/>
  <c r="MD14" i="2"/>
  <c r="LN14" i="2"/>
  <c r="KX14" i="2"/>
  <c r="KH14" i="2"/>
  <c r="SG14" i="2"/>
  <c r="RQ14" i="2"/>
  <c r="RA14" i="2"/>
  <c r="QK14" i="2"/>
  <c r="PU14" i="2"/>
  <c r="PE14" i="2"/>
  <c r="OO14" i="2"/>
  <c r="NY14" i="2"/>
  <c r="NI14" i="2"/>
  <c r="MS14" i="2"/>
  <c r="MC14" i="2"/>
  <c r="LM14" i="2"/>
  <c r="KW14" i="2"/>
  <c r="KG14" i="2"/>
  <c r="SF14" i="2"/>
  <c r="RP14" i="2"/>
  <c r="QZ14" i="2"/>
  <c r="QJ14" i="2"/>
  <c r="PT14" i="2"/>
  <c r="PD14" i="2"/>
  <c r="ON14" i="2"/>
  <c r="NX14" i="2"/>
  <c r="NH14" i="2"/>
  <c r="MR14" i="2"/>
  <c r="MB14" i="2"/>
  <c r="LL14" i="2"/>
  <c r="KV14" i="2"/>
  <c r="KF14" i="2"/>
  <c r="SE14" i="2"/>
  <c r="RO14" i="2"/>
  <c r="QY14" i="2"/>
  <c r="QI14" i="2"/>
  <c r="PS14" i="2"/>
  <c r="PC14" i="2"/>
  <c r="OM14" i="2"/>
  <c r="NW14" i="2"/>
  <c r="NG14" i="2"/>
  <c r="MQ14" i="2"/>
  <c r="MA14" i="2"/>
  <c r="LK14" i="2"/>
  <c r="KU14" i="2"/>
  <c r="KE14" i="2"/>
  <c r="SD14" i="2"/>
  <c r="RN14" i="2"/>
  <c r="QX14" i="2"/>
  <c r="QH14" i="2"/>
  <c r="PR14" i="2"/>
  <c r="PB14" i="2"/>
  <c r="OL14" i="2"/>
  <c r="NV14" i="2"/>
  <c r="NF14" i="2"/>
  <c r="MP14" i="2"/>
  <c r="LZ14" i="2"/>
  <c r="LJ14" i="2"/>
  <c r="KT14" i="2"/>
  <c r="KD14" i="2"/>
  <c r="OD14" i="2"/>
  <c r="SC14" i="2"/>
  <c r="RM14" i="2"/>
  <c r="QW14" i="2"/>
  <c r="QG14" i="2"/>
  <c r="PQ14" i="2"/>
  <c r="PA14" i="2"/>
  <c r="OK14" i="2"/>
  <c r="NU14" i="2"/>
  <c r="NE14" i="2"/>
  <c r="MO14" i="2"/>
  <c r="LY14" i="2"/>
  <c r="LI14" i="2"/>
  <c r="KS14" i="2"/>
  <c r="KC14" i="2"/>
  <c r="SL14" i="2"/>
  <c r="SB14" i="2"/>
  <c r="RL14" i="2"/>
  <c r="QV14" i="2"/>
  <c r="QF14" i="2"/>
  <c r="PP14" i="2"/>
  <c r="OZ14" i="2"/>
  <c r="OJ14" i="2"/>
  <c r="NT14" i="2"/>
  <c r="ND14" i="2"/>
  <c r="MN14" i="2"/>
  <c r="LX14" i="2"/>
  <c r="LH14" i="2"/>
  <c r="KR14" i="2"/>
  <c r="KB14" i="2"/>
  <c r="PZ14" i="2"/>
  <c r="LB14" i="2"/>
  <c r="SA14" i="2"/>
  <c r="RK14" i="2"/>
  <c r="QU14" i="2"/>
  <c r="QE14" i="2"/>
  <c r="PO14" i="2"/>
  <c r="OY14" i="2"/>
  <c r="OI14" i="2"/>
  <c r="NS14" i="2"/>
  <c r="NC14" i="2"/>
  <c r="MM14" i="2"/>
  <c r="LW14" i="2"/>
  <c r="LG14" i="2"/>
  <c r="KQ14" i="2"/>
  <c r="MH14" i="2"/>
  <c r="SP14" i="2"/>
  <c r="RZ14" i="2"/>
  <c r="RJ14" i="2"/>
  <c r="QT14" i="2"/>
  <c r="QD14" i="2"/>
  <c r="PN14" i="2"/>
  <c r="OX14" i="2"/>
  <c r="OH14" i="2"/>
  <c r="NR14" i="2"/>
  <c r="NB14" i="2"/>
  <c r="ML14" i="2"/>
  <c r="LV14" i="2"/>
  <c r="LF14" i="2"/>
  <c r="KP14" i="2"/>
  <c r="RV14" i="2"/>
  <c r="MX14" i="2"/>
  <c r="SO14" i="2"/>
  <c r="RY14" i="2"/>
  <c r="RI14" i="2"/>
  <c r="QS14" i="2"/>
  <c r="QC14" i="2"/>
  <c r="PM14" i="2"/>
  <c r="OW14" i="2"/>
  <c r="OG14" i="2"/>
  <c r="NQ14" i="2"/>
  <c r="NA14" i="2"/>
  <c r="MK14" i="2"/>
  <c r="LU14" i="2"/>
  <c r="LE14" i="2"/>
  <c r="KO14" i="2"/>
  <c r="OT14" i="2"/>
  <c r="KL14" i="2"/>
  <c r="SN14" i="2"/>
  <c r="RX14" i="2"/>
  <c r="RH14" i="2"/>
  <c r="QR14" i="2"/>
  <c r="QB14" i="2"/>
  <c r="PL14" i="2"/>
  <c r="OV14" i="2"/>
  <c r="OF14" i="2"/>
  <c r="NP14" i="2"/>
  <c r="MZ14" i="2"/>
  <c r="MJ14" i="2"/>
  <c r="LT14" i="2"/>
  <c r="LD14" i="2"/>
  <c r="KN14" i="2"/>
  <c r="RF14" i="2"/>
  <c r="SM14" i="2"/>
  <c r="RW14" i="2"/>
  <c r="RG14" i="2"/>
  <c r="QQ14" i="2"/>
  <c r="QA14" i="2"/>
  <c r="PK14" i="2"/>
  <c r="OU14" i="2"/>
  <c r="OE14" i="2"/>
  <c r="NO14" i="2"/>
  <c r="MY14" i="2"/>
  <c r="MI14" i="2"/>
  <c r="LS14" i="2"/>
  <c r="LC14" i="2"/>
  <c r="KM14" i="2"/>
  <c r="PJ14" i="2"/>
  <c r="SK14" i="2"/>
  <c r="RU14" i="2"/>
  <c r="RE14" i="2"/>
  <c r="QO14" i="2"/>
  <c r="PY14" i="2"/>
  <c r="PI14" i="2"/>
  <c r="OS14" i="2"/>
  <c r="OC14" i="2"/>
  <c r="NM14" i="2"/>
  <c r="MW14" i="2"/>
  <c r="MG14" i="2"/>
  <c r="LQ14" i="2"/>
  <c r="LA14" i="2"/>
  <c r="KK14" i="2"/>
  <c r="SF18" i="2"/>
  <c r="RP18" i="2"/>
  <c r="QZ18" i="2"/>
  <c r="QJ18" i="2"/>
  <c r="PT18" i="2"/>
  <c r="PD18" i="2"/>
  <c r="ON18" i="2"/>
  <c r="NX18" i="2"/>
  <c r="NH18" i="2"/>
  <c r="MR18" i="2"/>
  <c r="MB18" i="2"/>
  <c r="LL18" i="2"/>
  <c r="KV18" i="2"/>
  <c r="KF18" i="2"/>
  <c r="MD18" i="2"/>
  <c r="SE18" i="2"/>
  <c r="RO18" i="2"/>
  <c r="QY18" i="2"/>
  <c r="QI18" i="2"/>
  <c r="PS18" i="2"/>
  <c r="PC18" i="2"/>
  <c r="OM18" i="2"/>
  <c r="NW18" i="2"/>
  <c r="NG18" i="2"/>
  <c r="MQ18" i="2"/>
  <c r="MA18" i="2"/>
  <c r="LK18" i="2"/>
  <c r="KU18" i="2"/>
  <c r="KE18" i="2"/>
  <c r="QL18" i="2"/>
  <c r="NJ18" i="2"/>
  <c r="SD18" i="2"/>
  <c r="RN18" i="2"/>
  <c r="QX18" i="2"/>
  <c r="QH18" i="2"/>
  <c r="PR18" i="2"/>
  <c r="PB18" i="2"/>
  <c r="OL18" i="2"/>
  <c r="NV18" i="2"/>
  <c r="NF18" i="2"/>
  <c r="MP18" i="2"/>
  <c r="LZ18" i="2"/>
  <c r="LJ18" i="2"/>
  <c r="KT18" i="2"/>
  <c r="KD18" i="2"/>
  <c r="SC18" i="2"/>
  <c r="RM18" i="2"/>
  <c r="QW18" i="2"/>
  <c r="QG18" i="2"/>
  <c r="PQ18" i="2"/>
  <c r="PA18" i="2"/>
  <c r="OK18" i="2"/>
  <c r="NU18" i="2"/>
  <c r="NE18" i="2"/>
  <c r="MO18" i="2"/>
  <c r="LY18" i="2"/>
  <c r="LI18" i="2"/>
  <c r="KS18" i="2"/>
  <c r="KC18" i="2"/>
  <c r="SH18" i="2"/>
  <c r="SB18" i="2"/>
  <c r="RL18" i="2"/>
  <c r="QV18" i="2"/>
  <c r="QF18" i="2"/>
  <c r="PP18" i="2"/>
  <c r="OZ18" i="2"/>
  <c r="OJ18" i="2"/>
  <c r="NT18" i="2"/>
  <c r="ND18" i="2"/>
  <c r="MN18" i="2"/>
  <c r="LX18" i="2"/>
  <c r="LH18" i="2"/>
  <c r="KR18" i="2"/>
  <c r="KB18" i="2"/>
  <c r="PF18" i="2"/>
  <c r="KH18" i="2"/>
  <c r="SA18" i="2"/>
  <c r="RK18" i="2"/>
  <c r="QU18" i="2"/>
  <c r="QE18" i="2"/>
  <c r="PO18" i="2"/>
  <c r="OY18" i="2"/>
  <c r="OI18" i="2"/>
  <c r="NS18" i="2"/>
  <c r="NC18" i="2"/>
  <c r="MM18" i="2"/>
  <c r="LW18" i="2"/>
  <c r="LG18" i="2"/>
  <c r="KQ18" i="2"/>
  <c r="SP18" i="2"/>
  <c r="RZ18" i="2"/>
  <c r="RJ18" i="2"/>
  <c r="QT18" i="2"/>
  <c r="QD18" i="2"/>
  <c r="PN18" i="2"/>
  <c r="OX18" i="2"/>
  <c r="OH18" i="2"/>
  <c r="NR18" i="2"/>
  <c r="NB18" i="2"/>
  <c r="ML18" i="2"/>
  <c r="LV18" i="2"/>
  <c r="LF18" i="2"/>
  <c r="KP18" i="2"/>
  <c r="SO18" i="2"/>
  <c r="RY18" i="2"/>
  <c r="RI18" i="2"/>
  <c r="QS18" i="2"/>
  <c r="QC18" i="2"/>
  <c r="PM18" i="2"/>
  <c r="OW18" i="2"/>
  <c r="OG18" i="2"/>
  <c r="NQ18" i="2"/>
  <c r="NA18" i="2"/>
  <c r="MK18" i="2"/>
  <c r="LU18" i="2"/>
  <c r="LE18" i="2"/>
  <c r="KO18" i="2"/>
  <c r="OP18" i="2"/>
  <c r="KX18" i="2"/>
  <c r="SN18" i="2"/>
  <c r="RX18" i="2"/>
  <c r="RH18" i="2"/>
  <c r="QR18" i="2"/>
  <c r="QB18" i="2"/>
  <c r="PL18" i="2"/>
  <c r="OV18" i="2"/>
  <c r="OF18" i="2"/>
  <c r="NP18" i="2"/>
  <c r="MZ18" i="2"/>
  <c r="MJ18" i="2"/>
  <c r="LT18" i="2"/>
  <c r="LD18" i="2"/>
  <c r="KN18" i="2"/>
  <c r="NZ18" i="2"/>
  <c r="LN18" i="2"/>
  <c r="SM18" i="2"/>
  <c r="RW18" i="2"/>
  <c r="RG18" i="2"/>
  <c r="QQ18" i="2"/>
  <c r="QA18" i="2"/>
  <c r="PK18" i="2"/>
  <c r="OU18" i="2"/>
  <c r="OE18" i="2"/>
  <c r="NO18" i="2"/>
  <c r="MY18" i="2"/>
  <c r="MI18" i="2"/>
  <c r="LS18" i="2"/>
  <c r="LC18" i="2"/>
  <c r="KM18" i="2"/>
  <c r="SL18" i="2"/>
  <c r="RV18" i="2"/>
  <c r="RF18" i="2"/>
  <c r="QP18" i="2"/>
  <c r="PZ18" i="2"/>
  <c r="PJ18" i="2"/>
  <c r="OT18" i="2"/>
  <c r="OD18" i="2"/>
  <c r="NN18" i="2"/>
  <c r="MX18" i="2"/>
  <c r="MH18" i="2"/>
  <c r="LR18" i="2"/>
  <c r="LB18" i="2"/>
  <c r="KL18" i="2"/>
  <c r="PV18" i="2"/>
  <c r="SK18" i="2"/>
  <c r="RU18" i="2"/>
  <c r="RE18" i="2"/>
  <c r="QO18" i="2"/>
  <c r="PY18" i="2"/>
  <c r="PI18" i="2"/>
  <c r="OS18" i="2"/>
  <c r="OC18" i="2"/>
  <c r="NM18" i="2"/>
  <c r="MW18" i="2"/>
  <c r="MG18" i="2"/>
  <c r="LQ18" i="2"/>
  <c r="LA18" i="2"/>
  <c r="KK18" i="2"/>
  <c r="RR18" i="2"/>
  <c r="SJ18" i="2"/>
  <c r="RT18" i="2"/>
  <c r="RD18" i="2"/>
  <c r="QN18" i="2"/>
  <c r="PX18" i="2"/>
  <c r="PH18" i="2"/>
  <c r="OR18" i="2"/>
  <c r="OB18" i="2"/>
  <c r="NL18" i="2"/>
  <c r="MV18" i="2"/>
  <c r="MF18" i="2"/>
  <c r="LP18" i="2"/>
  <c r="KZ18" i="2"/>
  <c r="KJ18" i="2"/>
  <c r="SI18" i="2"/>
  <c r="RS18" i="2"/>
  <c r="RC18" i="2"/>
  <c r="QM18" i="2"/>
  <c r="PW18" i="2"/>
  <c r="PG18" i="2"/>
  <c r="OQ18" i="2"/>
  <c r="OA18" i="2"/>
  <c r="NK18" i="2"/>
  <c r="MU18" i="2"/>
  <c r="ME18" i="2"/>
  <c r="LO18" i="2"/>
  <c r="KY18" i="2"/>
  <c r="KI18" i="2"/>
  <c r="RB18" i="2"/>
  <c r="MT18" i="2"/>
  <c r="SG18" i="2"/>
  <c r="RQ18" i="2"/>
  <c r="RA18" i="2"/>
  <c r="QK18" i="2"/>
  <c r="PU18" i="2"/>
  <c r="PE18" i="2"/>
  <c r="OO18" i="2"/>
  <c r="NY18" i="2"/>
  <c r="NI18" i="2"/>
  <c r="MS18" i="2"/>
  <c r="MC18" i="2"/>
  <c r="LM18" i="2"/>
  <c r="KW18" i="2"/>
  <c r="KG18" i="2"/>
  <c r="SK21" i="2"/>
  <c r="RU21" i="2"/>
  <c r="RE21" i="2"/>
  <c r="QO21" i="2"/>
  <c r="PY21" i="2"/>
  <c r="PI21" i="2"/>
  <c r="OS21" i="2"/>
  <c r="OC21" i="2"/>
  <c r="NM21" i="2"/>
  <c r="MW21" i="2"/>
  <c r="MG21" i="2"/>
  <c r="LQ21" i="2"/>
  <c r="LA21" i="2"/>
  <c r="KK21" i="2"/>
  <c r="NO21" i="2"/>
  <c r="SJ21" i="2"/>
  <c r="RT21" i="2"/>
  <c r="RD21" i="2"/>
  <c r="QN21" i="2"/>
  <c r="PX21" i="2"/>
  <c r="PH21" i="2"/>
  <c r="OR21" i="2"/>
  <c r="OB21" i="2"/>
  <c r="NL21" i="2"/>
  <c r="MV21" i="2"/>
  <c r="MF21" i="2"/>
  <c r="LP21" i="2"/>
  <c r="KZ21" i="2"/>
  <c r="KJ21" i="2"/>
  <c r="QQ21" i="2"/>
  <c r="SI21" i="2"/>
  <c r="RS21" i="2"/>
  <c r="RC21" i="2"/>
  <c r="QM21" i="2"/>
  <c r="PW21" i="2"/>
  <c r="PG21" i="2"/>
  <c r="OQ21" i="2"/>
  <c r="OA21" i="2"/>
  <c r="NK21" i="2"/>
  <c r="MU21" i="2"/>
  <c r="ME21" i="2"/>
  <c r="LO21" i="2"/>
  <c r="KY21" i="2"/>
  <c r="KI21" i="2"/>
  <c r="SH21" i="2"/>
  <c r="RR21" i="2"/>
  <c r="RB21" i="2"/>
  <c r="QL21" i="2"/>
  <c r="PV21" i="2"/>
  <c r="PF21" i="2"/>
  <c r="OP21" i="2"/>
  <c r="NZ21" i="2"/>
  <c r="NJ21" i="2"/>
  <c r="MT21" i="2"/>
  <c r="MD21" i="2"/>
  <c r="LN21" i="2"/>
  <c r="KX21" i="2"/>
  <c r="KH21" i="2"/>
  <c r="QA21" i="2"/>
  <c r="SG21" i="2"/>
  <c r="RQ21" i="2"/>
  <c r="RA21" i="2"/>
  <c r="QK21" i="2"/>
  <c r="PU21" i="2"/>
  <c r="PE21" i="2"/>
  <c r="OO21" i="2"/>
  <c r="NY21" i="2"/>
  <c r="NI21" i="2"/>
  <c r="MS21" i="2"/>
  <c r="MC21" i="2"/>
  <c r="LM21" i="2"/>
  <c r="KW21" i="2"/>
  <c r="KG21" i="2"/>
  <c r="SF21" i="2"/>
  <c r="RP21" i="2"/>
  <c r="QZ21" i="2"/>
  <c r="QJ21" i="2"/>
  <c r="PT21" i="2"/>
  <c r="PD21" i="2"/>
  <c r="ON21" i="2"/>
  <c r="NX21" i="2"/>
  <c r="NH21" i="2"/>
  <c r="MR21" i="2"/>
  <c r="MB21" i="2"/>
  <c r="LL21" i="2"/>
  <c r="KV21" i="2"/>
  <c r="KF21" i="2"/>
  <c r="SE21" i="2"/>
  <c r="RO21" i="2"/>
  <c r="QY21" i="2"/>
  <c r="QI21" i="2"/>
  <c r="PS21" i="2"/>
  <c r="PC21" i="2"/>
  <c r="OM21" i="2"/>
  <c r="NW21" i="2"/>
  <c r="NG21" i="2"/>
  <c r="MQ21" i="2"/>
  <c r="MA21" i="2"/>
  <c r="LK21" i="2"/>
  <c r="KU21" i="2"/>
  <c r="KE21" i="2"/>
  <c r="OU21" i="2"/>
  <c r="LC21" i="2"/>
  <c r="SD21" i="2"/>
  <c r="RN21" i="2"/>
  <c r="QX21" i="2"/>
  <c r="QH21" i="2"/>
  <c r="PR21" i="2"/>
  <c r="PB21" i="2"/>
  <c r="OL21" i="2"/>
  <c r="NV21" i="2"/>
  <c r="NF21" i="2"/>
  <c r="MP21" i="2"/>
  <c r="LZ21" i="2"/>
  <c r="LJ21" i="2"/>
  <c r="KT21" i="2"/>
  <c r="KD21" i="2"/>
  <c r="LS21" i="2"/>
  <c r="SC21" i="2"/>
  <c r="RM21" i="2"/>
  <c r="QW21" i="2"/>
  <c r="QG21" i="2"/>
  <c r="PQ21" i="2"/>
  <c r="PA21" i="2"/>
  <c r="OK21" i="2"/>
  <c r="NU21" i="2"/>
  <c r="NE21" i="2"/>
  <c r="MO21" i="2"/>
  <c r="LY21" i="2"/>
  <c r="LI21" i="2"/>
  <c r="KS21" i="2"/>
  <c r="KC21" i="2"/>
  <c r="RW21" i="2"/>
  <c r="MY21" i="2"/>
  <c r="SB21" i="2"/>
  <c r="RL21" i="2"/>
  <c r="QV21" i="2"/>
  <c r="QF21" i="2"/>
  <c r="PP21" i="2"/>
  <c r="OZ21" i="2"/>
  <c r="OJ21" i="2"/>
  <c r="NT21" i="2"/>
  <c r="ND21" i="2"/>
  <c r="MN21" i="2"/>
  <c r="LX21" i="2"/>
  <c r="LH21" i="2"/>
  <c r="KR21" i="2"/>
  <c r="KB21" i="2"/>
  <c r="PK21" i="2"/>
  <c r="SA21" i="2"/>
  <c r="RK21" i="2"/>
  <c r="QU21" i="2"/>
  <c r="QE21" i="2"/>
  <c r="PO21" i="2"/>
  <c r="OY21" i="2"/>
  <c r="OI21" i="2"/>
  <c r="NS21" i="2"/>
  <c r="NC21" i="2"/>
  <c r="MM21" i="2"/>
  <c r="LW21" i="2"/>
  <c r="LG21" i="2"/>
  <c r="KQ21" i="2"/>
  <c r="SP21" i="2"/>
  <c r="RZ21" i="2"/>
  <c r="RJ21" i="2"/>
  <c r="QT21" i="2"/>
  <c r="QD21" i="2"/>
  <c r="PN21" i="2"/>
  <c r="OX21" i="2"/>
  <c r="OH21" i="2"/>
  <c r="NR21" i="2"/>
  <c r="NB21" i="2"/>
  <c r="ML21" i="2"/>
  <c r="LV21" i="2"/>
  <c r="LF21" i="2"/>
  <c r="KP21" i="2"/>
  <c r="MI21" i="2"/>
  <c r="SO21" i="2"/>
  <c r="RY21" i="2"/>
  <c r="RI21" i="2"/>
  <c r="QS21" i="2"/>
  <c r="QC21" i="2"/>
  <c r="PM21" i="2"/>
  <c r="OW21" i="2"/>
  <c r="OG21" i="2"/>
  <c r="NQ21" i="2"/>
  <c r="NA21" i="2"/>
  <c r="MK21" i="2"/>
  <c r="LU21" i="2"/>
  <c r="LE21" i="2"/>
  <c r="KO21" i="2"/>
  <c r="RG21" i="2"/>
  <c r="SN21" i="2"/>
  <c r="RX21" i="2"/>
  <c r="RH21" i="2"/>
  <c r="QR21" i="2"/>
  <c r="QB21" i="2"/>
  <c r="PL21" i="2"/>
  <c r="OV21" i="2"/>
  <c r="OF21" i="2"/>
  <c r="NP21" i="2"/>
  <c r="MZ21" i="2"/>
  <c r="MJ21" i="2"/>
  <c r="LT21" i="2"/>
  <c r="LD21" i="2"/>
  <c r="KN21" i="2"/>
  <c r="SM21" i="2"/>
  <c r="OE21" i="2"/>
  <c r="KM21" i="2"/>
  <c r="SL21" i="2"/>
  <c r="RV21" i="2"/>
  <c r="RF21" i="2"/>
  <c r="QP21" i="2"/>
  <c r="PZ21" i="2"/>
  <c r="PJ21" i="2"/>
  <c r="OT21" i="2"/>
  <c r="OD21" i="2"/>
  <c r="NN21" i="2"/>
  <c r="MX21" i="2"/>
  <c r="MH21" i="2"/>
  <c r="LR21" i="2"/>
  <c r="LB21" i="2"/>
  <c r="KL21" i="2"/>
  <c r="SG24" i="2"/>
  <c r="RQ24" i="2"/>
  <c r="RA24" i="2"/>
  <c r="QK24" i="2"/>
  <c r="PU24" i="2"/>
  <c r="PE24" i="2"/>
  <c r="OO24" i="2"/>
  <c r="NY24" i="2"/>
  <c r="NI24" i="2"/>
  <c r="MS24" i="2"/>
  <c r="MC24" i="2"/>
  <c r="LM24" i="2"/>
  <c r="KW24" i="2"/>
  <c r="KG24" i="2"/>
  <c r="SA24" i="2"/>
  <c r="RK24" i="2"/>
  <c r="QU24" i="2"/>
  <c r="QE24" i="2"/>
  <c r="PO24" i="2"/>
  <c r="OY24" i="2"/>
  <c r="OI24" i="2"/>
  <c r="NS24" i="2"/>
  <c r="NC24" i="2"/>
  <c r="MM24" i="2"/>
  <c r="LW24" i="2"/>
  <c r="LG24" i="2"/>
  <c r="KQ24" i="2"/>
  <c r="SK24" i="2"/>
  <c r="RS24" i="2"/>
  <c r="QZ24" i="2"/>
  <c r="QH24" i="2"/>
  <c r="PP24" i="2"/>
  <c r="OW24" i="2"/>
  <c r="OE24" i="2"/>
  <c r="NM24" i="2"/>
  <c r="MU24" i="2"/>
  <c r="MB24" i="2"/>
  <c r="LJ24" i="2"/>
  <c r="KR24" i="2"/>
  <c r="SM24" i="2"/>
  <c r="NO24" i="2"/>
  <c r="SJ24" i="2"/>
  <c r="RR24" i="2"/>
  <c r="QY24" i="2"/>
  <c r="QG24" i="2"/>
  <c r="PN24" i="2"/>
  <c r="OV24" i="2"/>
  <c r="OD24" i="2"/>
  <c r="NL24" i="2"/>
  <c r="MT24" i="2"/>
  <c r="MA24" i="2"/>
  <c r="LI24" i="2"/>
  <c r="KP24" i="2"/>
  <c r="QJ24" i="2"/>
  <c r="SI24" i="2"/>
  <c r="RP24" i="2"/>
  <c r="QX24" i="2"/>
  <c r="QF24" i="2"/>
  <c r="PM24" i="2"/>
  <c r="OU24" i="2"/>
  <c r="OC24" i="2"/>
  <c r="NK24" i="2"/>
  <c r="MR24" i="2"/>
  <c r="LZ24" i="2"/>
  <c r="LH24" i="2"/>
  <c r="KO24" i="2"/>
  <c r="SH24" i="2"/>
  <c r="RO24" i="2"/>
  <c r="QW24" i="2"/>
  <c r="QD24" i="2"/>
  <c r="PL24" i="2"/>
  <c r="OT24" i="2"/>
  <c r="OB24" i="2"/>
  <c r="NJ24" i="2"/>
  <c r="MQ24" i="2"/>
  <c r="LY24" i="2"/>
  <c r="LF24" i="2"/>
  <c r="KN24" i="2"/>
  <c r="SF24" i="2"/>
  <c r="RN24" i="2"/>
  <c r="QV24" i="2"/>
  <c r="QC24" i="2"/>
  <c r="PK24" i="2"/>
  <c r="OS24" i="2"/>
  <c r="OA24" i="2"/>
  <c r="NH24" i="2"/>
  <c r="MP24" i="2"/>
  <c r="LX24" i="2"/>
  <c r="LE24" i="2"/>
  <c r="KM24" i="2"/>
  <c r="MW24" i="2"/>
  <c r="SE24" i="2"/>
  <c r="RM24" i="2"/>
  <c r="QT24" i="2"/>
  <c r="QB24" i="2"/>
  <c r="PJ24" i="2"/>
  <c r="OR24" i="2"/>
  <c r="NZ24" i="2"/>
  <c r="NG24" i="2"/>
  <c r="MO24" i="2"/>
  <c r="LV24" i="2"/>
  <c r="LD24" i="2"/>
  <c r="KL24" i="2"/>
  <c r="SD24" i="2"/>
  <c r="RL24" i="2"/>
  <c r="QS24" i="2"/>
  <c r="QA24" i="2"/>
  <c r="PI24" i="2"/>
  <c r="OQ24" i="2"/>
  <c r="NX24" i="2"/>
  <c r="NF24" i="2"/>
  <c r="MN24" i="2"/>
  <c r="LU24" i="2"/>
  <c r="LC24" i="2"/>
  <c r="KK24" i="2"/>
  <c r="PR24" i="2"/>
  <c r="ME24" i="2"/>
  <c r="SC24" i="2"/>
  <c r="RJ24" i="2"/>
  <c r="QR24" i="2"/>
  <c r="PZ24" i="2"/>
  <c r="PH24" i="2"/>
  <c r="OP24" i="2"/>
  <c r="NW24" i="2"/>
  <c r="NE24" i="2"/>
  <c r="ML24" i="2"/>
  <c r="LT24" i="2"/>
  <c r="LB24" i="2"/>
  <c r="KJ24" i="2"/>
  <c r="RC24" i="2"/>
  <c r="LL24" i="2"/>
  <c r="SB24" i="2"/>
  <c r="RI24" i="2"/>
  <c r="QQ24" i="2"/>
  <c r="PY24" i="2"/>
  <c r="PG24" i="2"/>
  <c r="ON24" i="2"/>
  <c r="NV24" i="2"/>
  <c r="ND24" i="2"/>
  <c r="MK24" i="2"/>
  <c r="LS24" i="2"/>
  <c r="LA24" i="2"/>
  <c r="KI24" i="2"/>
  <c r="OZ24" i="2"/>
  <c r="KT24" i="2"/>
  <c r="RZ24" i="2"/>
  <c r="RH24" i="2"/>
  <c r="QP24" i="2"/>
  <c r="PX24" i="2"/>
  <c r="PF24" i="2"/>
  <c r="OM24" i="2"/>
  <c r="NU24" i="2"/>
  <c r="NB24" i="2"/>
  <c r="MJ24" i="2"/>
  <c r="LR24" i="2"/>
  <c r="KZ24" i="2"/>
  <c r="KH24" i="2"/>
  <c r="RY24" i="2"/>
  <c r="RG24" i="2"/>
  <c r="QO24" i="2"/>
  <c r="PW24" i="2"/>
  <c r="PD24" i="2"/>
  <c r="OL24" i="2"/>
  <c r="NT24" i="2"/>
  <c r="NA24" i="2"/>
  <c r="MI24" i="2"/>
  <c r="LQ24" i="2"/>
  <c r="KY24" i="2"/>
  <c r="KF24" i="2"/>
  <c r="KB24" i="2"/>
  <c r="SP24" i="2"/>
  <c r="RX24" i="2"/>
  <c r="RF24" i="2"/>
  <c r="QN24" i="2"/>
  <c r="PV24" i="2"/>
  <c r="PC24" i="2"/>
  <c r="OK24" i="2"/>
  <c r="NR24" i="2"/>
  <c r="MZ24" i="2"/>
  <c r="MH24" i="2"/>
  <c r="LP24" i="2"/>
  <c r="KX24" i="2"/>
  <c r="KE24" i="2"/>
  <c r="SO24" i="2"/>
  <c r="RW24" i="2"/>
  <c r="RE24" i="2"/>
  <c r="QM24" i="2"/>
  <c r="PT24" i="2"/>
  <c r="PB24" i="2"/>
  <c r="OJ24" i="2"/>
  <c r="NQ24" i="2"/>
  <c r="MY24" i="2"/>
  <c r="MG24" i="2"/>
  <c r="LO24" i="2"/>
  <c r="KV24" i="2"/>
  <c r="KD24" i="2"/>
  <c r="RU24" i="2"/>
  <c r="OG24" i="2"/>
  <c r="SN24" i="2"/>
  <c r="RV24" i="2"/>
  <c r="RD24" i="2"/>
  <c r="QL24" i="2"/>
  <c r="PS24" i="2"/>
  <c r="PA24" i="2"/>
  <c r="OH24" i="2"/>
  <c r="NP24" i="2"/>
  <c r="MX24" i="2"/>
  <c r="MF24" i="2"/>
  <c r="LN24" i="2"/>
  <c r="KU24" i="2"/>
  <c r="KC24" i="2"/>
  <c r="SL24" i="2"/>
  <c r="RT24" i="2"/>
  <c r="RB24" i="2"/>
  <c r="QI24" i="2"/>
  <c r="PQ24" i="2"/>
  <c r="OX24" i="2"/>
  <c r="OF24" i="2"/>
  <c r="NN24" i="2"/>
  <c r="MV24" i="2"/>
  <c r="MD24" i="2"/>
  <c r="LK24" i="2"/>
  <c r="KS24" i="2"/>
  <c r="SP23" i="2"/>
  <c r="RZ23" i="2"/>
  <c r="RJ23" i="2"/>
  <c r="QT23" i="2"/>
  <c r="QD23" i="2"/>
  <c r="PN23" i="2"/>
  <c r="SJ23" i="2"/>
  <c r="RT23" i="2"/>
  <c r="RD23" i="2"/>
  <c r="QN23" i="2"/>
  <c r="PX23" i="2"/>
  <c r="PH23" i="2"/>
  <c r="OR23" i="2"/>
  <c r="SD23" i="2"/>
  <c r="RL23" i="2"/>
  <c r="QS23" i="2"/>
  <c r="QA23" i="2"/>
  <c r="PI23" i="2"/>
  <c r="OQ23" i="2"/>
  <c r="OA23" i="2"/>
  <c r="NK23" i="2"/>
  <c r="MU23" i="2"/>
  <c r="ME23" i="2"/>
  <c r="LO23" i="2"/>
  <c r="KY23" i="2"/>
  <c r="KI23" i="2"/>
  <c r="PK23" i="2"/>
  <c r="SC23" i="2"/>
  <c r="RK23" i="2"/>
  <c r="QR23" i="2"/>
  <c r="PZ23" i="2"/>
  <c r="PG23" i="2"/>
  <c r="OP23" i="2"/>
  <c r="NZ23" i="2"/>
  <c r="NJ23" i="2"/>
  <c r="MT23" i="2"/>
  <c r="MD23" i="2"/>
  <c r="LN23" i="2"/>
  <c r="KX23" i="2"/>
  <c r="KH23" i="2"/>
  <c r="LQ23" i="2"/>
  <c r="SB23" i="2"/>
  <c r="RI23" i="2"/>
  <c r="QQ23" i="2"/>
  <c r="PY23" i="2"/>
  <c r="PF23" i="2"/>
  <c r="OO23" i="2"/>
  <c r="NY23" i="2"/>
  <c r="NI23" i="2"/>
  <c r="MS23" i="2"/>
  <c r="MC23" i="2"/>
  <c r="LM23" i="2"/>
  <c r="KW23" i="2"/>
  <c r="KG23" i="2"/>
  <c r="SA23" i="2"/>
  <c r="RH23" i="2"/>
  <c r="QP23" i="2"/>
  <c r="PW23" i="2"/>
  <c r="PE23" i="2"/>
  <c r="ON23" i="2"/>
  <c r="NX23" i="2"/>
  <c r="NH23" i="2"/>
  <c r="MR23" i="2"/>
  <c r="MB23" i="2"/>
  <c r="LL23" i="2"/>
  <c r="KV23" i="2"/>
  <c r="KF23" i="2"/>
  <c r="RN23" i="2"/>
  <c r="RY23" i="2"/>
  <c r="RG23" i="2"/>
  <c r="QO23" i="2"/>
  <c r="PV23" i="2"/>
  <c r="PD23" i="2"/>
  <c r="OM23" i="2"/>
  <c r="NW23" i="2"/>
  <c r="NG23" i="2"/>
  <c r="MQ23" i="2"/>
  <c r="MA23" i="2"/>
  <c r="LK23" i="2"/>
  <c r="KU23" i="2"/>
  <c r="KE23" i="2"/>
  <c r="RX23" i="2"/>
  <c r="RF23" i="2"/>
  <c r="QM23" i="2"/>
  <c r="PU23" i="2"/>
  <c r="PC23" i="2"/>
  <c r="OL23" i="2"/>
  <c r="NV23" i="2"/>
  <c r="NF23" i="2"/>
  <c r="MP23" i="2"/>
  <c r="LZ23" i="2"/>
  <c r="LJ23" i="2"/>
  <c r="KT23" i="2"/>
  <c r="KD23" i="2"/>
  <c r="SO23" i="2"/>
  <c r="RW23" i="2"/>
  <c r="RE23" i="2"/>
  <c r="QL23" i="2"/>
  <c r="PT23" i="2"/>
  <c r="PB23" i="2"/>
  <c r="OK23" i="2"/>
  <c r="NU23" i="2"/>
  <c r="NE23" i="2"/>
  <c r="MO23" i="2"/>
  <c r="LY23" i="2"/>
  <c r="LI23" i="2"/>
  <c r="KS23" i="2"/>
  <c r="KC23" i="2"/>
  <c r="QC23" i="2"/>
  <c r="LA23" i="2"/>
  <c r="SN23" i="2"/>
  <c r="RV23" i="2"/>
  <c r="RC23" i="2"/>
  <c r="QK23" i="2"/>
  <c r="PS23" i="2"/>
  <c r="PA23" i="2"/>
  <c r="OJ23" i="2"/>
  <c r="NT23" i="2"/>
  <c r="ND23" i="2"/>
  <c r="MN23" i="2"/>
  <c r="LX23" i="2"/>
  <c r="LH23" i="2"/>
  <c r="KR23" i="2"/>
  <c r="KB23" i="2"/>
  <c r="MW23" i="2"/>
  <c r="SM23" i="2"/>
  <c r="RU23" i="2"/>
  <c r="RB23" i="2"/>
  <c r="QJ23" i="2"/>
  <c r="PR23" i="2"/>
  <c r="OZ23" i="2"/>
  <c r="OI23" i="2"/>
  <c r="NS23" i="2"/>
  <c r="NC23" i="2"/>
  <c r="MM23" i="2"/>
  <c r="LW23" i="2"/>
  <c r="LG23" i="2"/>
  <c r="KQ23" i="2"/>
  <c r="OC23" i="2"/>
  <c r="KK23" i="2"/>
  <c r="SL23" i="2"/>
  <c r="RS23" i="2"/>
  <c r="RA23" i="2"/>
  <c r="QI23" i="2"/>
  <c r="PQ23" i="2"/>
  <c r="OY23" i="2"/>
  <c r="OH23" i="2"/>
  <c r="NR23" i="2"/>
  <c r="NB23" i="2"/>
  <c r="ML23" i="2"/>
  <c r="LV23" i="2"/>
  <c r="LF23" i="2"/>
  <c r="KP23" i="2"/>
  <c r="NM23" i="2"/>
  <c r="SK23" i="2"/>
  <c r="RR23" i="2"/>
  <c r="QZ23" i="2"/>
  <c r="QH23" i="2"/>
  <c r="PP23" i="2"/>
  <c r="OX23" i="2"/>
  <c r="OG23" i="2"/>
  <c r="NQ23" i="2"/>
  <c r="NA23" i="2"/>
  <c r="MK23" i="2"/>
  <c r="LU23" i="2"/>
  <c r="LE23" i="2"/>
  <c r="KO23" i="2"/>
  <c r="SI23" i="2"/>
  <c r="RQ23" i="2"/>
  <c r="QY23" i="2"/>
  <c r="QG23" i="2"/>
  <c r="PO23" i="2"/>
  <c r="OW23" i="2"/>
  <c r="OF23" i="2"/>
  <c r="NP23" i="2"/>
  <c r="MZ23" i="2"/>
  <c r="MJ23" i="2"/>
  <c r="LT23" i="2"/>
  <c r="LD23" i="2"/>
  <c r="KN23" i="2"/>
  <c r="OT23" i="2"/>
  <c r="SH23" i="2"/>
  <c r="RP23" i="2"/>
  <c r="QX23" i="2"/>
  <c r="QF23" i="2"/>
  <c r="PM23" i="2"/>
  <c r="OV23" i="2"/>
  <c r="OE23" i="2"/>
  <c r="NO23" i="2"/>
  <c r="MY23" i="2"/>
  <c r="MI23" i="2"/>
  <c r="LS23" i="2"/>
  <c r="LC23" i="2"/>
  <c r="KM23" i="2"/>
  <c r="SF23" i="2"/>
  <c r="MG23" i="2"/>
  <c r="SG23" i="2"/>
  <c r="RO23" i="2"/>
  <c r="QW23" i="2"/>
  <c r="QE23" i="2"/>
  <c r="PL23" i="2"/>
  <c r="OU23" i="2"/>
  <c r="OD23" i="2"/>
  <c r="NN23" i="2"/>
  <c r="MX23" i="2"/>
  <c r="MH23" i="2"/>
  <c r="LR23" i="2"/>
  <c r="LB23" i="2"/>
  <c r="KL23" i="2"/>
  <c r="QV23" i="2"/>
  <c r="SE23" i="2"/>
  <c r="RM23" i="2"/>
  <c r="QU23" i="2"/>
  <c r="QB23" i="2"/>
  <c r="PJ23" i="2"/>
  <c r="OS23" i="2"/>
  <c r="OB23" i="2"/>
  <c r="NL23" i="2"/>
  <c r="MV23" i="2"/>
  <c r="MF23" i="2"/>
  <c r="LP23" i="2"/>
  <c r="KZ23" i="2"/>
  <c r="KJ23" i="2"/>
  <c r="SI7" i="2"/>
  <c r="RS7" i="2"/>
  <c r="RC7" i="2"/>
  <c r="QM7" i="2"/>
  <c r="PW7" i="2"/>
  <c r="PG7" i="2"/>
  <c r="OQ7" i="2"/>
  <c r="OA7" i="2"/>
  <c r="NK7" i="2"/>
  <c r="MU7" i="2"/>
  <c r="ME7" i="2"/>
  <c r="LO7" i="2"/>
  <c r="KY7" i="2"/>
  <c r="KI7" i="2"/>
  <c r="OC7" i="2"/>
  <c r="SH7" i="2"/>
  <c r="RR7" i="2"/>
  <c r="RB7" i="2"/>
  <c r="QL7" i="2"/>
  <c r="PV7" i="2"/>
  <c r="PF7" i="2"/>
  <c r="OP7" i="2"/>
  <c r="NZ7" i="2"/>
  <c r="NJ7" i="2"/>
  <c r="MT7" i="2"/>
  <c r="MD7" i="2"/>
  <c r="LN7" i="2"/>
  <c r="KX7" i="2"/>
  <c r="KH7" i="2"/>
  <c r="PY7" i="2"/>
  <c r="SG7" i="2"/>
  <c r="RQ7" i="2"/>
  <c r="RA7" i="2"/>
  <c r="QK7" i="2"/>
  <c r="PU7" i="2"/>
  <c r="PE7" i="2"/>
  <c r="OO7" i="2"/>
  <c r="NY7" i="2"/>
  <c r="NI7" i="2"/>
  <c r="MS7" i="2"/>
  <c r="MC7" i="2"/>
  <c r="LM7" i="2"/>
  <c r="KW7" i="2"/>
  <c r="KG7" i="2"/>
  <c r="SF7" i="2"/>
  <c r="RP7" i="2"/>
  <c r="QZ7" i="2"/>
  <c r="QJ7" i="2"/>
  <c r="PT7" i="2"/>
  <c r="PD7" i="2"/>
  <c r="ON7" i="2"/>
  <c r="NX7" i="2"/>
  <c r="NH7" i="2"/>
  <c r="MR7" i="2"/>
  <c r="MB7" i="2"/>
  <c r="LL7" i="2"/>
  <c r="KV7" i="2"/>
  <c r="KF7" i="2"/>
  <c r="SE7" i="2"/>
  <c r="RO7" i="2"/>
  <c r="QY7" i="2"/>
  <c r="QI7" i="2"/>
  <c r="PS7" i="2"/>
  <c r="PC7" i="2"/>
  <c r="OM7" i="2"/>
  <c r="NW7" i="2"/>
  <c r="NG7" i="2"/>
  <c r="MQ7" i="2"/>
  <c r="MA7" i="2"/>
  <c r="LK7" i="2"/>
  <c r="KU7" i="2"/>
  <c r="KE7" i="2"/>
  <c r="RU7" i="2"/>
  <c r="MG7" i="2"/>
  <c r="SD7" i="2"/>
  <c r="RN7" i="2"/>
  <c r="QX7" i="2"/>
  <c r="QH7" i="2"/>
  <c r="PR7" i="2"/>
  <c r="PB7" i="2"/>
  <c r="OL7" i="2"/>
  <c r="NV7" i="2"/>
  <c r="NF7" i="2"/>
  <c r="MP7" i="2"/>
  <c r="LZ7" i="2"/>
  <c r="LJ7" i="2"/>
  <c r="KT7" i="2"/>
  <c r="KD7" i="2"/>
  <c r="SC7" i="2"/>
  <c r="RM7" i="2"/>
  <c r="QW7" i="2"/>
  <c r="QG7" i="2"/>
  <c r="PQ7" i="2"/>
  <c r="PA7" i="2"/>
  <c r="OK7" i="2"/>
  <c r="NU7" i="2"/>
  <c r="NE7" i="2"/>
  <c r="MO7" i="2"/>
  <c r="LY7" i="2"/>
  <c r="LI7" i="2"/>
  <c r="KS7" i="2"/>
  <c r="KC7" i="2"/>
  <c r="PI7" i="2"/>
  <c r="SB7" i="2"/>
  <c r="RL7" i="2"/>
  <c r="QV7" i="2"/>
  <c r="QF7" i="2"/>
  <c r="PP7" i="2"/>
  <c r="OZ7" i="2"/>
  <c r="OJ7" i="2"/>
  <c r="NT7" i="2"/>
  <c r="ND7" i="2"/>
  <c r="MN7" i="2"/>
  <c r="LX7" i="2"/>
  <c r="LH7" i="2"/>
  <c r="KR7" i="2"/>
  <c r="KB7" i="2"/>
  <c r="LQ7" i="2"/>
  <c r="SA7" i="2"/>
  <c r="RK7" i="2"/>
  <c r="QU7" i="2"/>
  <c r="QE7" i="2"/>
  <c r="PO7" i="2"/>
  <c r="OY7" i="2"/>
  <c r="OI7" i="2"/>
  <c r="NS7" i="2"/>
  <c r="NC7" i="2"/>
  <c r="MM7" i="2"/>
  <c r="LW7" i="2"/>
  <c r="LG7" i="2"/>
  <c r="KQ7" i="2"/>
  <c r="SP7" i="2"/>
  <c r="RZ7" i="2"/>
  <c r="RJ7" i="2"/>
  <c r="QT7" i="2"/>
  <c r="QD7" i="2"/>
  <c r="PN7" i="2"/>
  <c r="OX7" i="2"/>
  <c r="OH7" i="2"/>
  <c r="NR7" i="2"/>
  <c r="NB7" i="2"/>
  <c r="ML7" i="2"/>
  <c r="LV7" i="2"/>
  <c r="LF7" i="2"/>
  <c r="KP7" i="2"/>
  <c r="NM7" i="2"/>
  <c r="SO7" i="2"/>
  <c r="RY7" i="2"/>
  <c r="RI7" i="2"/>
  <c r="QS7" i="2"/>
  <c r="QC7" i="2"/>
  <c r="PM7" i="2"/>
  <c r="OW7" i="2"/>
  <c r="OG7" i="2"/>
  <c r="NQ7" i="2"/>
  <c r="NA7" i="2"/>
  <c r="MK7" i="2"/>
  <c r="LU7" i="2"/>
  <c r="LE7" i="2"/>
  <c r="KO7" i="2"/>
  <c r="OS7" i="2"/>
  <c r="SN7" i="2"/>
  <c r="RX7" i="2"/>
  <c r="RH7" i="2"/>
  <c r="QR7" i="2"/>
  <c r="QB7" i="2"/>
  <c r="PL7" i="2"/>
  <c r="OV7" i="2"/>
  <c r="OF7" i="2"/>
  <c r="NP7" i="2"/>
  <c r="MZ7" i="2"/>
  <c r="MJ7" i="2"/>
  <c r="LT7" i="2"/>
  <c r="LD7" i="2"/>
  <c r="KN7" i="2"/>
  <c r="SK7" i="2"/>
  <c r="MW7" i="2"/>
  <c r="SM7" i="2"/>
  <c r="RW7" i="2"/>
  <c r="RG7" i="2"/>
  <c r="QQ7" i="2"/>
  <c r="QA7" i="2"/>
  <c r="PK7" i="2"/>
  <c r="OU7" i="2"/>
  <c r="OE7" i="2"/>
  <c r="NO7" i="2"/>
  <c r="MY7" i="2"/>
  <c r="MI7" i="2"/>
  <c r="LS7" i="2"/>
  <c r="LC7" i="2"/>
  <c r="KM7" i="2"/>
  <c r="QO7" i="2"/>
  <c r="KK7" i="2"/>
  <c r="SL7" i="2"/>
  <c r="RV7" i="2"/>
  <c r="RF7" i="2"/>
  <c r="QP7" i="2"/>
  <c r="PZ7" i="2"/>
  <c r="PJ7" i="2"/>
  <c r="OT7" i="2"/>
  <c r="OD7" i="2"/>
  <c r="NN7" i="2"/>
  <c r="MX7" i="2"/>
  <c r="MH7" i="2"/>
  <c r="LR7" i="2"/>
  <c r="LB7" i="2"/>
  <c r="KL7" i="2"/>
  <c r="RE7" i="2"/>
  <c r="SJ7" i="2"/>
  <c r="RT7" i="2"/>
  <c r="RD7" i="2"/>
  <c r="QN7" i="2"/>
  <c r="PX7" i="2"/>
  <c r="PH7" i="2"/>
  <c r="OR7" i="2"/>
  <c r="OB7" i="2"/>
  <c r="NL7" i="2"/>
  <c r="MV7" i="2"/>
  <c r="MF7" i="2"/>
  <c r="LP7" i="2"/>
  <c r="KZ7" i="2"/>
  <c r="KJ7" i="2"/>
  <c r="LA7" i="2"/>
  <c r="SP8" i="2"/>
  <c r="RZ8" i="2"/>
  <c r="RJ8" i="2"/>
  <c r="QT8" i="2"/>
  <c r="QD8" i="2"/>
  <c r="PN8" i="2"/>
  <c r="OX8" i="2"/>
  <c r="OH8" i="2"/>
  <c r="NR8" i="2"/>
  <c r="NB8" i="2"/>
  <c r="ML8" i="2"/>
  <c r="LV8" i="2"/>
  <c r="LF8" i="2"/>
  <c r="KP8" i="2"/>
  <c r="NT8" i="2"/>
  <c r="SO8" i="2"/>
  <c r="RY8" i="2"/>
  <c r="RI8" i="2"/>
  <c r="QS8" i="2"/>
  <c r="QC8" i="2"/>
  <c r="PM8" i="2"/>
  <c r="OW8" i="2"/>
  <c r="OG8" i="2"/>
  <c r="NQ8" i="2"/>
  <c r="NA8" i="2"/>
  <c r="MK8" i="2"/>
  <c r="LU8" i="2"/>
  <c r="LE8" i="2"/>
  <c r="KO8" i="2"/>
  <c r="SB8" i="2"/>
  <c r="LX8" i="2"/>
  <c r="SN8" i="2"/>
  <c r="RX8" i="2"/>
  <c r="RH8" i="2"/>
  <c r="QR8" i="2"/>
  <c r="QB8" i="2"/>
  <c r="PL8" i="2"/>
  <c r="OV8" i="2"/>
  <c r="OF8" i="2"/>
  <c r="NP8" i="2"/>
  <c r="MZ8" i="2"/>
  <c r="MJ8" i="2"/>
  <c r="LT8" i="2"/>
  <c r="LD8" i="2"/>
  <c r="KN8" i="2"/>
  <c r="SM8" i="2"/>
  <c r="RW8" i="2"/>
  <c r="RG8" i="2"/>
  <c r="QQ8" i="2"/>
  <c r="QA8" i="2"/>
  <c r="PK8" i="2"/>
  <c r="OU8" i="2"/>
  <c r="OE8" i="2"/>
  <c r="NO8" i="2"/>
  <c r="MY8" i="2"/>
  <c r="MI8" i="2"/>
  <c r="LS8" i="2"/>
  <c r="LC8" i="2"/>
  <c r="KM8" i="2"/>
  <c r="SL8" i="2"/>
  <c r="RV8" i="2"/>
  <c r="RF8" i="2"/>
  <c r="QP8" i="2"/>
  <c r="PZ8" i="2"/>
  <c r="PJ8" i="2"/>
  <c r="OT8" i="2"/>
  <c r="OD8" i="2"/>
  <c r="NN8" i="2"/>
  <c r="MX8" i="2"/>
  <c r="MH8" i="2"/>
  <c r="LR8" i="2"/>
  <c r="LB8" i="2"/>
  <c r="KL8" i="2"/>
  <c r="RL8" i="2"/>
  <c r="ND8" i="2"/>
  <c r="SK8" i="2"/>
  <c r="RU8" i="2"/>
  <c r="RE8" i="2"/>
  <c r="QO8" i="2"/>
  <c r="PY8" i="2"/>
  <c r="PI8" i="2"/>
  <c r="OS8" i="2"/>
  <c r="OC8" i="2"/>
  <c r="NM8" i="2"/>
  <c r="MW8" i="2"/>
  <c r="MG8" i="2"/>
  <c r="LQ8" i="2"/>
  <c r="LA8" i="2"/>
  <c r="KK8" i="2"/>
  <c r="SJ8" i="2"/>
  <c r="RT8" i="2"/>
  <c r="RD8" i="2"/>
  <c r="QN8" i="2"/>
  <c r="PX8" i="2"/>
  <c r="PH8" i="2"/>
  <c r="OR8" i="2"/>
  <c r="OB8" i="2"/>
  <c r="NL8" i="2"/>
  <c r="MV8" i="2"/>
  <c r="MF8" i="2"/>
  <c r="LP8" i="2"/>
  <c r="KZ8" i="2"/>
  <c r="KJ8" i="2"/>
  <c r="OZ8" i="2"/>
  <c r="SI8" i="2"/>
  <c r="RS8" i="2"/>
  <c r="RC8" i="2"/>
  <c r="QM8" i="2"/>
  <c r="PW8" i="2"/>
  <c r="PG8" i="2"/>
  <c r="OQ8" i="2"/>
  <c r="OA8" i="2"/>
  <c r="NK8" i="2"/>
  <c r="MU8" i="2"/>
  <c r="ME8" i="2"/>
  <c r="LO8" i="2"/>
  <c r="KY8" i="2"/>
  <c r="KI8" i="2"/>
  <c r="KR8" i="2"/>
  <c r="SH8" i="2"/>
  <c r="RR8" i="2"/>
  <c r="RB8" i="2"/>
  <c r="QL8" i="2"/>
  <c r="PV8" i="2"/>
  <c r="PF8" i="2"/>
  <c r="OP8" i="2"/>
  <c r="NZ8" i="2"/>
  <c r="NJ8" i="2"/>
  <c r="MT8" i="2"/>
  <c r="MD8" i="2"/>
  <c r="LN8" i="2"/>
  <c r="KX8" i="2"/>
  <c r="KH8" i="2"/>
  <c r="SG8" i="2"/>
  <c r="RQ8" i="2"/>
  <c r="RA8" i="2"/>
  <c r="QK8" i="2"/>
  <c r="PU8" i="2"/>
  <c r="PE8" i="2"/>
  <c r="OO8" i="2"/>
  <c r="NY8" i="2"/>
  <c r="NI8" i="2"/>
  <c r="MS8" i="2"/>
  <c r="MC8" i="2"/>
  <c r="LM8" i="2"/>
  <c r="KW8" i="2"/>
  <c r="KG8" i="2"/>
  <c r="QF8" i="2"/>
  <c r="KB8" i="2"/>
  <c r="SF8" i="2"/>
  <c r="RP8" i="2"/>
  <c r="QZ8" i="2"/>
  <c r="QJ8" i="2"/>
  <c r="PT8" i="2"/>
  <c r="PD8" i="2"/>
  <c r="ON8" i="2"/>
  <c r="NX8" i="2"/>
  <c r="NH8" i="2"/>
  <c r="MR8" i="2"/>
  <c r="MB8" i="2"/>
  <c r="LL8" i="2"/>
  <c r="KV8" i="2"/>
  <c r="KF8" i="2"/>
  <c r="QV8" i="2"/>
  <c r="LH8" i="2"/>
  <c r="SE8" i="2"/>
  <c r="RO8" i="2"/>
  <c r="QY8" i="2"/>
  <c r="QI8" i="2"/>
  <c r="PS8" i="2"/>
  <c r="PC8" i="2"/>
  <c r="OM8" i="2"/>
  <c r="NW8" i="2"/>
  <c r="NG8" i="2"/>
  <c r="MQ8" i="2"/>
  <c r="MA8" i="2"/>
  <c r="LK8" i="2"/>
  <c r="KU8" i="2"/>
  <c r="KE8" i="2"/>
  <c r="OJ8" i="2"/>
  <c r="SD8" i="2"/>
  <c r="RN8" i="2"/>
  <c r="QX8" i="2"/>
  <c r="QH8" i="2"/>
  <c r="PR8" i="2"/>
  <c r="PB8" i="2"/>
  <c r="OL8" i="2"/>
  <c r="NV8" i="2"/>
  <c r="NF8" i="2"/>
  <c r="MP8" i="2"/>
  <c r="LZ8" i="2"/>
  <c r="LJ8" i="2"/>
  <c r="KT8" i="2"/>
  <c r="KD8" i="2"/>
  <c r="MN8" i="2"/>
  <c r="SC8" i="2"/>
  <c r="RM8" i="2"/>
  <c r="QW8" i="2"/>
  <c r="QG8" i="2"/>
  <c r="PQ8" i="2"/>
  <c r="PA8" i="2"/>
  <c r="OK8" i="2"/>
  <c r="NU8" i="2"/>
  <c r="NE8" i="2"/>
  <c r="MO8" i="2"/>
  <c r="LY8" i="2"/>
  <c r="LI8" i="2"/>
  <c r="KS8" i="2"/>
  <c r="KC8" i="2"/>
  <c r="PP8" i="2"/>
  <c r="SA8" i="2"/>
  <c r="RK8" i="2"/>
  <c r="QU8" i="2"/>
  <c r="QE8" i="2"/>
  <c r="PO8" i="2"/>
  <c r="OY8" i="2"/>
  <c r="OI8" i="2"/>
  <c r="NS8" i="2"/>
  <c r="NC8" i="2"/>
  <c r="MM8" i="2"/>
  <c r="LW8" i="2"/>
  <c r="LG8" i="2"/>
  <c r="KQ8" i="2"/>
  <c r="SM19" i="2"/>
  <c r="RW19" i="2"/>
  <c r="RG19" i="2"/>
  <c r="QQ19" i="2"/>
  <c r="QA19" i="2"/>
  <c r="PK19" i="2"/>
  <c r="OU19" i="2"/>
  <c r="OE19" i="2"/>
  <c r="NO19" i="2"/>
  <c r="MY19" i="2"/>
  <c r="MI19" i="2"/>
  <c r="LS19" i="2"/>
  <c r="LC19" i="2"/>
  <c r="KM19" i="2"/>
  <c r="RI19" i="2"/>
  <c r="SL19" i="2"/>
  <c r="RV19" i="2"/>
  <c r="RF19" i="2"/>
  <c r="QP19" i="2"/>
  <c r="PZ19" i="2"/>
  <c r="PJ19" i="2"/>
  <c r="OT19" i="2"/>
  <c r="OD19" i="2"/>
  <c r="NN19" i="2"/>
  <c r="MX19" i="2"/>
  <c r="MH19" i="2"/>
  <c r="LR19" i="2"/>
  <c r="LB19" i="2"/>
  <c r="KL19" i="2"/>
  <c r="QC19" i="2"/>
  <c r="LU19" i="2"/>
  <c r="SK19" i="2"/>
  <c r="RU19" i="2"/>
  <c r="RE19" i="2"/>
  <c r="QO19" i="2"/>
  <c r="PY19" i="2"/>
  <c r="PI19" i="2"/>
  <c r="OS19" i="2"/>
  <c r="OC19" i="2"/>
  <c r="NM19" i="2"/>
  <c r="MW19" i="2"/>
  <c r="MG19" i="2"/>
  <c r="LQ19" i="2"/>
  <c r="LA19" i="2"/>
  <c r="KK19" i="2"/>
  <c r="SJ19" i="2"/>
  <c r="RT19" i="2"/>
  <c r="RD19" i="2"/>
  <c r="QN19" i="2"/>
  <c r="PX19" i="2"/>
  <c r="PH19" i="2"/>
  <c r="OR19" i="2"/>
  <c r="OB19" i="2"/>
  <c r="NL19" i="2"/>
  <c r="MV19" i="2"/>
  <c r="MF19" i="2"/>
  <c r="LP19" i="2"/>
  <c r="KZ19" i="2"/>
  <c r="KJ19" i="2"/>
  <c r="OG19" i="2"/>
  <c r="SI19" i="2"/>
  <c r="RS19" i="2"/>
  <c r="RC19" i="2"/>
  <c r="QM19" i="2"/>
  <c r="PW19" i="2"/>
  <c r="PG19" i="2"/>
  <c r="OQ19" i="2"/>
  <c r="OA19" i="2"/>
  <c r="NK19" i="2"/>
  <c r="MU19" i="2"/>
  <c r="ME19" i="2"/>
  <c r="LO19" i="2"/>
  <c r="KY19" i="2"/>
  <c r="KI19" i="2"/>
  <c r="SO19" i="2"/>
  <c r="NA19" i="2"/>
  <c r="SH19" i="2"/>
  <c r="RR19" i="2"/>
  <c r="RB19" i="2"/>
  <c r="QL19" i="2"/>
  <c r="PV19" i="2"/>
  <c r="PF19" i="2"/>
  <c r="OP19" i="2"/>
  <c r="NZ19" i="2"/>
  <c r="NJ19" i="2"/>
  <c r="MT19" i="2"/>
  <c r="MD19" i="2"/>
  <c r="LN19" i="2"/>
  <c r="KX19" i="2"/>
  <c r="KH19" i="2"/>
  <c r="SG19" i="2"/>
  <c r="RQ19" i="2"/>
  <c r="RA19" i="2"/>
  <c r="QK19" i="2"/>
  <c r="PU19" i="2"/>
  <c r="PE19" i="2"/>
  <c r="OO19" i="2"/>
  <c r="NY19" i="2"/>
  <c r="NI19" i="2"/>
  <c r="MS19" i="2"/>
  <c r="MC19" i="2"/>
  <c r="LM19" i="2"/>
  <c r="KW19" i="2"/>
  <c r="KG19" i="2"/>
  <c r="SF19" i="2"/>
  <c r="RP19" i="2"/>
  <c r="QZ19" i="2"/>
  <c r="QJ19" i="2"/>
  <c r="PT19" i="2"/>
  <c r="PD19" i="2"/>
  <c r="ON19" i="2"/>
  <c r="NX19" i="2"/>
  <c r="NH19" i="2"/>
  <c r="MR19" i="2"/>
  <c r="MB19" i="2"/>
  <c r="LL19" i="2"/>
  <c r="KV19" i="2"/>
  <c r="KF19" i="2"/>
  <c r="PM19" i="2"/>
  <c r="KO19" i="2"/>
  <c r="SE19" i="2"/>
  <c r="RO19" i="2"/>
  <c r="QY19" i="2"/>
  <c r="QI19" i="2"/>
  <c r="PS19" i="2"/>
  <c r="PC19" i="2"/>
  <c r="OM19" i="2"/>
  <c r="NW19" i="2"/>
  <c r="NG19" i="2"/>
  <c r="MQ19" i="2"/>
  <c r="MA19" i="2"/>
  <c r="LK19" i="2"/>
  <c r="KU19" i="2"/>
  <c r="KE19" i="2"/>
  <c r="OW19" i="2"/>
  <c r="SD19" i="2"/>
  <c r="RN19" i="2"/>
  <c r="QX19" i="2"/>
  <c r="QH19" i="2"/>
  <c r="PR19" i="2"/>
  <c r="PB19" i="2"/>
  <c r="OL19" i="2"/>
  <c r="NV19" i="2"/>
  <c r="NF19" i="2"/>
  <c r="MP19" i="2"/>
  <c r="LZ19" i="2"/>
  <c r="LJ19" i="2"/>
  <c r="KT19" i="2"/>
  <c r="KD19" i="2"/>
  <c r="SC19" i="2"/>
  <c r="RM19" i="2"/>
  <c r="QW19" i="2"/>
  <c r="QG19" i="2"/>
  <c r="PQ19" i="2"/>
  <c r="PA19" i="2"/>
  <c r="OK19" i="2"/>
  <c r="NU19" i="2"/>
  <c r="NE19" i="2"/>
  <c r="MO19" i="2"/>
  <c r="LY19" i="2"/>
  <c r="LI19" i="2"/>
  <c r="KS19" i="2"/>
  <c r="KC19" i="2"/>
  <c r="NQ19" i="2"/>
  <c r="SB19" i="2"/>
  <c r="RL19" i="2"/>
  <c r="QV19" i="2"/>
  <c r="QF19" i="2"/>
  <c r="PP19" i="2"/>
  <c r="OZ19" i="2"/>
  <c r="OJ19" i="2"/>
  <c r="NT19" i="2"/>
  <c r="ND19" i="2"/>
  <c r="MN19" i="2"/>
  <c r="LX19" i="2"/>
  <c r="LH19" i="2"/>
  <c r="KR19" i="2"/>
  <c r="KB19" i="2"/>
  <c r="RY19" i="2"/>
  <c r="SA19" i="2"/>
  <c r="RK19" i="2"/>
  <c r="QU19" i="2"/>
  <c r="QE19" i="2"/>
  <c r="PO19" i="2"/>
  <c r="OY19" i="2"/>
  <c r="OI19" i="2"/>
  <c r="NS19" i="2"/>
  <c r="NC19" i="2"/>
  <c r="MM19" i="2"/>
  <c r="LW19" i="2"/>
  <c r="LG19" i="2"/>
  <c r="KQ19" i="2"/>
  <c r="LE19" i="2"/>
  <c r="SP19" i="2"/>
  <c r="RZ19" i="2"/>
  <c r="RJ19" i="2"/>
  <c r="QT19" i="2"/>
  <c r="QD19" i="2"/>
  <c r="PN19" i="2"/>
  <c r="OX19" i="2"/>
  <c r="OH19" i="2"/>
  <c r="NR19" i="2"/>
  <c r="NB19" i="2"/>
  <c r="ML19" i="2"/>
  <c r="LV19" i="2"/>
  <c r="LF19" i="2"/>
  <c r="KP19" i="2"/>
  <c r="QS19" i="2"/>
  <c r="MK19" i="2"/>
  <c r="SN19" i="2"/>
  <c r="RX19" i="2"/>
  <c r="RH19" i="2"/>
  <c r="QR19" i="2"/>
  <c r="QB19" i="2"/>
  <c r="PL19" i="2"/>
  <c r="OV19" i="2"/>
  <c r="OF19" i="2"/>
  <c r="NP19" i="2"/>
  <c r="MZ19" i="2"/>
  <c r="MJ19" i="2"/>
  <c r="LT19" i="2"/>
  <c r="LD19" i="2"/>
  <c r="KN19" i="2"/>
  <c r="SC13" i="2"/>
  <c r="RM13" i="2"/>
  <c r="QW13" i="2"/>
  <c r="QG13" i="2"/>
  <c r="PQ13" i="2"/>
  <c r="PA13" i="2"/>
  <c r="OK13" i="2"/>
  <c r="NU13" i="2"/>
  <c r="NE13" i="2"/>
  <c r="MO13" i="2"/>
  <c r="LY13" i="2"/>
  <c r="LI13" i="2"/>
  <c r="KS13" i="2"/>
  <c r="KC13" i="2"/>
  <c r="QY13" i="2"/>
  <c r="KU13" i="2"/>
  <c r="SB13" i="2"/>
  <c r="RL13" i="2"/>
  <c r="QV13" i="2"/>
  <c r="QF13" i="2"/>
  <c r="PP13" i="2"/>
  <c r="OZ13" i="2"/>
  <c r="OJ13" i="2"/>
  <c r="NT13" i="2"/>
  <c r="ND13" i="2"/>
  <c r="MN13" i="2"/>
  <c r="LX13" i="2"/>
  <c r="LH13" i="2"/>
  <c r="KR13" i="2"/>
  <c r="KB13" i="2"/>
  <c r="SE13" i="2"/>
  <c r="NW13" i="2"/>
  <c r="SA13" i="2"/>
  <c r="RK13" i="2"/>
  <c r="QU13" i="2"/>
  <c r="QE13" i="2"/>
  <c r="PO13" i="2"/>
  <c r="OY13" i="2"/>
  <c r="OI13" i="2"/>
  <c r="NS13" i="2"/>
  <c r="NC13" i="2"/>
  <c r="MM13" i="2"/>
  <c r="LW13" i="2"/>
  <c r="LG13" i="2"/>
  <c r="KQ13" i="2"/>
  <c r="SP13" i="2"/>
  <c r="RZ13" i="2"/>
  <c r="RJ13" i="2"/>
  <c r="QT13" i="2"/>
  <c r="QD13" i="2"/>
  <c r="PN13" i="2"/>
  <c r="OX13" i="2"/>
  <c r="OH13" i="2"/>
  <c r="NR13" i="2"/>
  <c r="NB13" i="2"/>
  <c r="ML13" i="2"/>
  <c r="LV13" i="2"/>
  <c r="LF13" i="2"/>
  <c r="KP13" i="2"/>
  <c r="MA13" i="2"/>
  <c r="SO13" i="2"/>
  <c r="RY13" i="2"/>
  <c r="RI13" i="2"/>
  <c r="QS13" i="2"/>
  <c r="QC13" i="2"/>
  <c r="PM13" i="2"/>
  <c r="OW13" i="2"/>
  <c r="OG13" i="2"/>
  <c r="NQ13" i="2"/>
  <c r="NA13" i="2"/>
  <c r="MK13" i="2"/>
  <c r="LU13" i="2"/>
  <c r="LE13" i="2"/>
  <c r="KO13" i="2"/>
  <c r="MQ13" i="2"/>
  <c r="SN13" i="2"/>
  <c r="RX13" i="2"/>
  <c r="RH13" i="2"/>
  <c r="QR13" i="2"/>
  <c r="QB13" i="2"/>
  <c r="PL13" i="2"/>
  <c r="OV13" i="2"/>
  <c r="OF13" i="2"/>
  <c r="NP13" i="2"/>
  <c r="MZ13" i="2"/>
  <c r="MJ13" i="2"/>
  <c r="LT13" i="2"/>
  <c r="LD13" i="2"/>
  <c r="KN13" i="2"/>
  <c r="SM13" i="2"/>
  <c r="RW13" i="2"/>
  <c r="RG13" i="2"/>
  <c r="QQ13" i="2"/>
  <c r="QA13" i="2"/>
  <c r="PK13" i="2"/>
  <c r="OU13" i="2"/>
  <c r="OE13" i="2"/>
  <c r="NO13" i="2"/>
  <c r="MY13" i="2"/>
  <c r="MI13" i="2"/>
  <c r="LS13" i="2"/>
  <c r="LC13" i="2"/>
  <c r="KM13" i="2"/>
  <c r="OM13" i="2"/>
  <c r="SL13" i="2"/>
  <c r="RV13" i="2"/>
  <c r="RF13" i="2"/>
  <c r="QP13" i="2"/>
  <c r="PZ13" i="2"/>
  <c r="PJ13" i="2"/>
  <c r="OT13" i="2"/>
  <c r="OD13" i="2"/>
  <c r="NN13" i="2"/>
  <c r="MX13" i="2"/>
  <c r="MH13" i="2"/>
  <c r="LR13" i="2"/>
  <c r="LB13" i="2"/>
  <c r="KL13" i="2"/>
  <c r="SK13" i="2"/>
  <c r="RU13" i="2"/>
  <c r="RE13" i="2"/>
  <c r="QO13" i="2"/>
  <c r="PY13" i="2"/>
  <c r="PI13" i="2"/>
  <c r="OS13" i="2"/>
  <c r="OC13" i="2"/>
  <c r="NM13" i="2"/>
  <c r="MW13" i="2"/>
  <c r="MG13" i="2"/>
  <c r="LQ13" i="2"/>
  <c r="LA13" i="2"/>
  <c r="KK13" i="2"/>
  <c r="RO13" i="2"/>
  <c r="LK13" i="2"/>
  <c r="SJ13" i="2"/>
  <c r="RT13" i="2"/>
  <c r="RD13" i="2"/>
  <c r="QN13" i="2"/>
  <c r="PX13" i="2"/>
  <c r="PH13" i="2"/>
  <c r="OR13" i="2"/>
  <c r="OB13" i="2"/>
  <c r="NL13" i="2"/>
  <c r="MV13" i="2"/>
  <c r="MF13" i="2"/>
  <c r="LP13" i="2"/>
  <c r="KZ13" i="2"/>
  <c r="KJ13" i="2"/>
  <c r="QI13" i="2"/>
  <c r="KE13" i="2"/>
  <c r="SI13" i="2"/>
  <c r="RS13" i="2"/>
  <c r="RC13" i="2"/>
  <c r="QM13" i="2"/>
  <c r="PW13" i="2"/>
  <c r="PG13" i="2"/>
  <c r="OQ13" i="2"/>
  <c r="OA13" i="2"/>
  <c r="NK13" i="2"/>
  <c r="MU13" i="2"/>
  <c r="ME13" i="2"/>
  <c r="LO13" i="2"/>
  <c r="KY13" i="2"/>
  <c r="KI13" i="2"/>
  <c r="PC13" i="2"/>
  <c r="SH13" i="2"/>
  <c r="RR13" i="2"/>
  <c r="RB13" i="2"/>
  <c r="QL13" i="2"/>
  <c r="PV13" i="2"/>
  <c r="PF13" i="2"/>
  <c r="OP13" i="2"/>
  <c r="NZ13" i="2"/>
  <c r="NJ13" i="2"/>
  <c r="MT13" i="2"/>
  <c r="MD13" i="2"/>
  <c r="LN13" i="2"/>
  <c r="KX13" i="2"/>
  <c r="KH13" i="2"/>
  <c r="PS13" i="2"/>
  <c r="SG13" i="2"/>
  <c r="RQ13" i="2"/>
  <c r="RA13" i="2"/>
  <c r="QK13" i="2"/>
  <c r="PU13" i="2"/>
  <c r="PE13" i="2"/>
  <c r="OO13" i="2"/>
  <c r="NY13" i="2"/>
  <c r="NI13" i="2"/>
  <c r="MS13" i="2"/>
  <c r="MC13" i="2"/>
  <c r="LM13" i="2"/>
  <c r="KW13" i="2"/>
  <c r="KG13" i="2"/>
  <c r="NG13" i="2"/>
  <c r="SF13" i="2"/>
  <c r="RP13" i="2"/>
  <c r="QZ13" i="2"/>
  <c r="QJ13" i="2"/>
  <c r="PT13" i="2"/>
  <c r="PD13" i="2"/>
  <c r="ON13" i="2"/>
  <c r="NX13" i="2"/>
  <c r="NH13" i="2"/>
  <c r="MR13" i="2"/>
  <c r="MB13" i="2"/>
  <c r="LL13" i="2"/>
  <c r="KV13" i="2"/>
  <c r="KF13" i="2"/>
  <c r="SD13" i="2"/>
  <c r="RN13" i="2"/>
  <c r="QX13" i="2"/>
  <c r="QH13" i="2"/>
  <c r="PR13" i="2"/>
  <c r="PB13" i="2"/>
  <c r="OL13" i="2"/>
  <c r="NV13" i="2"/>
  <c r="NF13" i="2"/>
  <c r="MP13" i="2"/>
  <c r="LZ13" i="2"/>
  <c r="LJ13" i="2"/>
  <c r="KT13" i="2"/>
  <c r="KD13" i="2"/>
  <c r="SE11" i="2"/>
  <c r="RO11" i="2"/>
  <c r="QY11" i="2"/>
  <c r="QI11" i="2"/>
  <c r="PS11" i="2"/>
  <c r="PC11" i="2"/>
  <c r="OM11" i="2"/>
  <c r="NW11" i="2"/>
  <c r="NG11" i="2"/>
  <c r="MQ11" i="2"/>
  <c r="MA11" i="2"/>
  <c r="LK11" i="2"/>
  <c r="KU11" i="2"/>
  <c r="KE11" i="2"/>
  <c r="NI11" i="2"/>
  <c r="SD11" i="2"/>
  <c r="RN11" i="2"/>
  <c r="QX11" i="2"/>
  <c r="QH11" i="2"/>
  <c r="PR11" i="2"/>
  <c r="PB11" i="2"/>
  <c r="OL11" i="2"/>
  <c r="NV11" i="2"/>
  <c r="NF11" i="2"/>
  <c r="MP11" i="2"/>
  <c r="LZ11" i="2"/>
  <c r="LJ11" i="2"/>
  <c r="KT11" i="2"/>
  <c r="KD11" i="2"/>
  <c r="PE11" i="2"/>
  <c r="SC11" i="2"/>
  <c r="RM11" i="2"/>
  <c r="QW11" i="2"/>
  <c r="QG11" i="2"/>
  <c r="PQ11" i="2"/>
  <c r="PA11" i="2"/>
  <c r="OK11" i="2"/>
  <c r="NU11" i="2"/>
  <c r="NE11" i="2"/>
  <c r="MO11" i="2"/>
  <c r="LY11" i="2"/>
  <c r="LI11" i="2"/>
  <c r="KS11" i="2"/>
  <c r="KC11" i="2"/>
  <c r="SB11" i="2"/>
  <c r="RL11" i="2"/>
  <c r="QV11" i="2"/>
  <c r="QF11" i="2"/>
  <c r="PP11" i="2"/>
  <c r="OZ11" i="2"/>
  <c r="OJ11" i="2"/>
  <c r="NT11" i="2"/>
  <c r="ND11" i="2"/>
  <c r="MN11" i="2"/>
  <c r="LX11" i="2"/>
  <c r="LH11" i="2"/>
  <c r="KR11" i="2"/>
  <c r="KB11" i="2"/>
  <c r="KG11" i="2"/>
  <c r="SA11" i="2"/>
  <c r="RK11" i="2"/>
  <c r="QU11" i="2"/>
  <c r="QE11" i="2"/>
  <c r="PO11" i="2"/>
  <c r="OY11" i="2"/>
  <c r="OI11" i="2"/>
  <c r="NS11" i="2"/>
  <c r="NC11" i="2"/>
  <c r="MM11" i="2"/>
  <c r="LW11" i="2"/>
  <c r="LG11" i="2"/>
  <c r="KQ11" i="2"/>
  <c r="RQ11" i="2"/>
  <c r="SP11" i="2"/>
  <c r="RZ11" i="2"/>
  <c r="RJ11" i="2"/>
  <c r="QT11" i="2"/>
  <c r="QD11" i="2"/>
  <c r="PN11" i="2"/>
  <c r="OX11" i="2"/>
  <c r="OH11" i="2"/>
  <c r="NR11" i="2"/>
  <c r="NB11" i="2"/>
  <c r="ML11" i="2"/>
  <c r="LV11" i="2"/>
  <c r="LF11" i="2"/>
  <c r="KP11" i="2"/>
  <c r="SO11" i="2"/>
  <c r="RY11" i="2"/>
  <c r="RI11" i="2"/>
  <c r="QS11" i="2"/>
  <c r="QC11" i="2"/>
  <c r="PM11" i="2"/>
  <c r="OW11" i="2"/>
  <c r="OG11" i="2"/>
  <c r="NQ11" i="2"/>
  <c r="NA11" i="2"/>
  <c r="MK11" i="2"/>
  <c r="LU11" i="2"/>
  <c r="LE11" i="2"/>
  <c r="KO11" i="2"/>
  <c r="PU11" i="2"/>
  <c r="SN11" i="2"/>
  <c r="RX11" i="2"/>
  <c r="RH11" i="2"/>
  <c r="QR11" i="2"/>
  <c r="QB11" i="2"/>
  <c r="PL11" i="2"/>
  <c r="OV11" i="2"/>
  <c r="OF11" i="2"/>
  <c r="NP11" i="2"/>
  <c r="MZ11" i="2"/>
  <c r="MJ11" i="2"/>
  <c r="LT11" i="2"/>
  <c r="LD11" i="2"/>
  <c r="KN11" i="2"/>
  <c r="SM11" i="2"/>
  <c r="RW11" i="2"/>
  <c r="RG11" i="2"/>
  <c r="QQ11" i="2"/>
  <c r="QA11" i="2"/>
  <c r="PK11" i="2"/>
  <c r="OU11" i="2"/>
  <c r="OE11" i="2"/>
  <c r="NO11" i="2"/>
  <c r="MY11" i="2"/>
  <c r="MI11" i="2"/>
  <c r="LS11" i="2"/>
  <c r="LC11" i="2"/>
  <c r="KM11" i="2"/>
  <c r="NY11" i="2"/>
  <c r="SL11" i="2"/>
  <c r="RV11" i="2"/>
  <c r="RF11" i="2"/>
  <c r="QP11" i="2"/>
  <c r="PZ11" i="2"/>
  <c r="PJ11" i="2"/>
  <c r="OT11" i="2"/>
  <c r="OD11" i="2"/>
  <c r="NN11" i="2"/>
  <c r="MX11" i="2"/>
  <c r="MH11" i="2"/>
  <c r="LR11" i="2"/>
  <c r="LB11" i="2"/>
  <c r="KL11" i="2"/>
  <c r="MS11" i="2"/>
  <c r="SK11" i="2"/>
  <c r="RU11" i="2"/>
  <c r="RE11" i="2"/>
  <c r="QO11" i="2"/>
  <c r="PY11" i="2"/>
  <c r="PI11" i="2"/>
  <c r="OS11" i="2"/>
  <c r="OC11" i="2"/>
  <c r="NM11" i="2"/>
  <c r="MW11" i="2"/>
  <c r="MG11" i="2"/>
  <c r="LQ11" i="2"/>
  <c r="LA11" i="2"/>
  <c r="KK11" i="2"/>
  <c r="SG11" i="2"/>
  <c r="MC11" i="2"/>
  <c r="SJ11" i="2"/>
  <c r="RT11" i="2"/>
  <c r="RD11" i="2"/>
  <c r="QN11" i="2"/>
  <c r="PX11" i="2"/>
  <c r="PH11" i="2"/>
  <c r="OR11" i="2"/>
  <c r="OB11" i="2"/>
  <c r="NL11" i="2"/>
  <c r="MV11" i="2"/>
  <c r="MF11" i="2"/>
  <c r="LP11" i="2"/>
  <c r="KZ11" i="2"/>
  <c r="KJ11" i="2"/>
  <c r="RA11" i="2"/>
  <c r="LM11" i="2"/>
  <c r="SI11" i="2"/>
  <c r="RS11" i="2"/>
  <c r="RC11" i="2"/>
  <c r="QM11" i="2"/>
  <c r="PW11" i="2"/>
  <c r="PG11" i="2"/>
  <c r="OQ11" i="2"/>
  <c r="OA11" i="2"/>
  <c r="NK11" i="2"/>
  <c r="MU11" i="2"/>
  <c r="ME11" i="2"/>
  <c r="LO11" i="2"/>
  <c r="KY11" i="2"/>
  <c r="KI11" i="2"/>
  <c r="OO11" i="2"/>
  <c r="SH11" i="2"/>
  <c r="RR11" i="2"/>
  <c r="RB11" i="2"/>
  <c r="QL11" i="2"/>
  <c r="PV11" i="2"/>
  <c r="PF11" i="2"/>
  <c r="OP11" i="2"/>
  <c r="NZ11" i="2"/>
  <c r="NJ11" i="2"/>
  <c r="MT11" i="2"/>
  <c r="MD11" i="2"/>
  <c r="LN11" i="2"/>
  <c r="KX11" i="2"/>
  <c r="KH11" i="2"/>
  <c r="QK11" i="2"/>
  <c r="SF11" i="2"/>
  <c r="RP11" i="2"/>
  <c r="QZ11" i="2"/>
  <c r="QJ11" i="2"/>
  <c r="PT11" i="2"/>
  <c r="PD11" i="2"/>
  <c r="ON11" i="2"/>
  <c r="NX11" i="2"/>
  <c r="NH11" i="2"/>
  <c r="MR11" i="2"/>
  <c r="MB11" i="2"/>
  <c r="LL11" i="2"/>
  <c r="KV11" i="2"/>
  <c r="KF11" i="2"/>
  <c r="KW11" i="2"/>
  <c r="SA15" i="2"/>
  <c r="RK15" i="2"/>
  <c r="QU15" i="2"/>
  <c r="QE15" i="2"/>
  <c r="PO15" i="2"/>
  <c r="OY15" i="2"/>
  <c r="OI15" i="2"/>
  <c r="NS15" i="2"/>
  <c r="NC15" i="2"/>
  <c r="MM15" i="2"/>
  <c r="LW15" i="2"/>
  <c r="LG15" i="2"/>
  <c r="KQ15" i="2"/>
  <c r="LY15" i="2"/>
  <c r="SP15" i="2"/>
  <c r="RZ15" i="2"/>
  <c r="RJ15" i="2"/>
  <c r="QT15" i="2"/>
  <c r="QD15" i="2"/>
  <c r="PN15" i="2"/>
  <c r="OX15" i="2"/>
  <c r="OH15" i="2"/>
  <c r="NR15" i="2"/>
  <c r="NB15" i="2"/>
  <c r="ML15" i="2"/>
  <c r="LV15" i="2"/>
  <c r="LF15" i="2"/>
  <c r="KP15" i="2"/>
  <c r="QW15" i="2"/>
  <c r="LI15" i="2"/>
  <c r="SO15" i="2"/>
  <c r="RY15" i="2"/>
  <c r="RI15" i="2"/>
  <c r="QS15" i="2"/>
  <c r="QC15" i="2"/>
  <c r="PM15" i="2"/>
  <c r="OW15" i="2"/>
  <c r="OG15" i="2"/>
  <c r="NQ15" i="2"/>
  <c r="NA15" i="2"/>
  <c r="MK15" i="2"/>
  <c r="LU15" i="2"/>
  <c r="LE15" i="2"/>
  <c r="KO15" i="2"/>
  <c r="SN15" i="2"/>
  <c r="RX15" i="2"/>
  <c r="RH15" i="2"/>
  <c r="QR15" i="2"/>
  <c r="QB15" i="2"/>
  <c r="PL15" i="2"/>
  <c r="OV15" i="2"/>
  <c r="OF15" i="2"/>
  <c r="NP15" i="2"/>
  <c r="MZ15" i="2"/>
  <c r="MJ15" i="2"/>
  <c r="LT15" i="2"/>
  <c r="LD15" i="2"/>
  <c r="KN15" i="2"/>
  <c r="SM15" i="2"/>
  <c r="RW15" i="2"/>
  <c r="RG15" i="2"/>
  <c r="QQ15" i="2"/>
  <c r="QA15" i="2"/>
  <c r="PK15" i="2"/>
  <c r="OU15" i="2"/>
  <c r="OE15" i="2"/>
  <c r="NO15" i="2"/>
  <c r="MY15" i="2"/>
  <c r="MI15" i="2"/>
  <c r="LS15" i="2"/>
  <c r="LC15" i="2"/>
  <c r="KM15" i="2"/>
  <c r="SL15" i="2"/>
  <c r="RV15" i="2"/>
  <c r="RF15" i="2"/>
  <c r="QP15" i="2"/>
  <c r="PZ15" i="2"/>
  <c r="PJ15" i="2"/>
  <c r="OT15" i="2"/>
  <c r="OD15" i="2"/>
  <c r="NN15" i="2"/>
  <c r="MX15" i="2"/>
  <c r="MH15" i="2"/>
  <c r="LR15" i="2"/>
  <c r="LB15" i="2"/>
  <c r="KL15" i="2"/>
  <c r="SK15" i="2"/>
  <c r="RU15" i="2"/>
  <c r="RE15" i="2"/>
  <c r="QO15" i="2"/>
  <c r="PY15" i="2"/>
  <c r="PI15" i="2"/>
  <c r="OS15" i="2"/>
  <c r="OC15" i="2"/>
  <c r="NM15" i="2"/>
  <c r="MW15" i="2"/>
  <c r="MG15" i="2"/>
  <c r="LQ15" i="2"/>
  <c r="LA15" i="2"/>
  <c r="KK15" i="2"/>
  <c r="SJ15" i="2"/>
  <c r="RT15" i="2"/>
  <c r="RD15" i="2"/>
  <c r="QN15" i="2"/>
  <c r="PX15" i="2"/>
  <c r="PH15" i="2"/>
  <c r="OR15" i="2"/>
  <c r="OB15" i="2"/>
  <c r="NL15" i="2"/>
  <c r="MV15" i="2"/>
  <c r="MF15" i="2"/>
  <c r="LP15" i="2"/>
  <c r="KZ15" i="2"/>
  <c r="KJ15" i="2"/>
  <c r="SC15" i="2"/>
  <c r="NU15" i="2"/>
  <c r="SI15" i="2"/>
  <c r="RS15" i="2"/>
  <c r="RC15" i="2"/>
  <c r="QM15" i="2"/>
  <c r="PW15" i="2"/>
  <c r="PG15" i="2"/>
  <c r="OQ15" i="2"/>
  <c r="OA15" i="2"/>
  <c r="NK15" i="2"/>
  <c r="MU15" i="2"/>
  <c r="ME15" i="2"/>
  <c r="LO15" i="2"/>
  <c r="KY15" i="2"/>
  <c r="KI15" i="2"/>
  <c r="PQ15" i="2"/>
  <c r="KS15" i="2"/>
  <c r="SH15" i="2"/>
  <c r="RR15" i="2"/>
  <c r="RB15" i="2"/>
  <c r="QL15" i="2"/>
  <c r="PV15" i="2"/>
  <c r="PF15" i="2"/>
  <c r="OP15" i="2"/>
  <c r="NZ15" i="2"/>
  <c r="NJ15" i="2"/>
  <c r="MT15" i="2"/>
  <c r="MD15" i="2"/>
  <c r="LN15" i="2"/>
  <c r="KX15" i="2"/>
  <c r="KH15" i="2"/>
  <c r="PA15" i="2"/>
  <c r="SG15" i="2"/>
  <c r="RQ15" i="2"/>
  <c r="RA15" i="2"/>
  <c r="QK15" i="2"/>
  <c r="PU15" i="2"/>
  <c r="PE15" i="2"/>
  <c r="OO15" i="2"/>
  <c r="NY15" i="2"/>
  <c r="NI15" i="2"/>
  <c r="MS15" i="2"/>
  <c r="MC15" i="2"/>
  <c r="LM15" i="2"/>
  <c r="KW15" i="2"/>
  <c r="KG15" i="2"/>
  <c r="NE15" i="2"/>
  <c r="SF15" i="2"/>
  <c r="RP15" i="2"/>
  <c r="QZ15" i="2"/>
  <c r="QJ15" i="2"/>
  <c r="PT15" i="2"/>
  <c r="PD15" i="2"/>
  <c r="ON15" i="2"/>
  <c r="NX15" i="2"/>
  <c r="NH15" i="2"/>
  <c r="MR15" i="2"/>
  <c r="MB15" i="2"/>
  <c r="LL15" i="2"/>
  <c r="KV15" i="2"/>
  <c r="KF15" i="2"/>
  <c r="MO15" i="2"/>
  <c r="SE15" i="2"/>
  <c r="RO15" i="2"/>
  <c r="QY15" i="2"/>
  <c r="QI15" i="2"/>
  <c r="PS15" i="2"/>
  <c r="PC15" i="2"/>
  <c r="OM15" i="2"/>
  <c r="NW15" i="2"/>
  <c r="NG15" i="2"/>
  <c r="MQ15" i="2"/>
  <c r="MA15" i="2"/>
  <c r="LK15" i="2"/>
  <c r="KU15" i="2"/>
  <c r="KE15" i="2"/>
  <c r="QG15" i="2"/>
  <c r="SD15" i="2"/>
  <c r="RN15" i="2"/>
  <c r="QX15" i="2"/>
  <c r="QH15" i="2"/>
  <c r="PR15" i="2"/>
  <c r="PB15" i="2"/>
  <c r="OL15" i="2"/>
  <c r="NV15" i="2"/>
  <c r="NF15" i="2"/>
  <c r="MP15" i="2"/>
  <c r="LZ15" i="2"/>
  <c r="LJ15" i="2"/>
  <c r="KT15" i="2"/>
  <c r="KD15" i="2"/>
  <c r="RM15" i="2"/>
  <c r="OK15" i="2"/>
  <c r="KC15" i="2"/>
  <c r="SB15" i="2"/>
  <c r="RL15" i="2"/>
  <c r="QV15" i="2"/>
  <c r="QF15" i="2"/>
  <c r="PP15" i="2"/>
  <c r="OZ15" i="2"/>
  <c r="OJ15" i="2"/>
  <c r="NT15" i="2"/>
  <c r="ND15" i="2"/>
  <c r="MN15" i="2"/>
  <c r="LX15" i="2"/>
  <c r="LH15" i="2"/>
  <c r="KR15" i="2"/>
  <c r="KB15" i="2"/>
  <c r="SK5" i="2"/>
  <c r="RU5" i="2"/>
  <c r="RE5" i="2"/>
  <c r="QO5" i="2"/>
  <c r="PY5" i="2"/>
  <c r="PI5" i="2"/>
  <c r="OS5" i="2"/>
  <c r="OC5" i="2"/>
  <c r="NM5" i="2"/>
  <c r="MW5" i="2"/>
  <c r="MG5" i="2"/>
  <c r="LQ5" i="2"/>
  <c r="LA5" i="2"/>
  <c r="KK5" i="2"/>
  <c r="RG5" i="2"/>
  <c r="SJ5" i="2"/>
  <c r="RT5" i="2"/>
  <c r="RD5" i="2"/>
  <c r="QN5" i="2"/>
  <c r="PX5" i="2"/>
  <c r="PH5" i="2"/>
  <c r="OR5" i="2"/>
  <c r="OB5" i="2"/>
  <c r="NL5" i="2"/>
  <c r="MV5" i="2"/>
  <c r="MF5" i="2"/>
  <c r="LP5" i="2"/>
  <c r="KZ5" i="2"/>
  <c r="KJ5" i="2"/>
  <c r="OU5" i="2"/>
  <c r="SI5" i="2"/>
  <c r="RS5" i="2"/>
  <c r="RC5" i="2"/>
  <c r="QM5" i="2"/>
  <c r="PW5" i="2"/>
  <c r="PG5" i="2"/>
  <c r="OQ5" i="2"/>
  <c r="OA5" i="2"/>
  <c r="NK5" i="2"/>
  <c r="MU5" i="2"/>
  <c r="ME5" i="2"/>
  <c r="LO5" i="2"/>
  <c r="KY5" i="2"/>
  <c r="KI5" i="2"/>
  <c r="SH5" i="2"/>
  <c r="RR5" i="2"/>
  <c r="RB5" i="2"/>
  <c r="QL5" i="2"/>
  <c r="PV5" i="2"/>
  <c r="PF5" i="2"/>
  <c r="OP5" i="2"/>
  <c r="NZ5" i="2"/>
  <c r="NJ5" i="2"/>
  <c r="MT5" i="2"/>
  <c r="MD5" i="2"/>
  <c r="LN5" i="2"/>
  <c r="KX5" i="2"/>
  <c r="KH5" i="2"/>
  <c r="RW5" i="2"/>
  <c r="SG5" i="2"/>
  <c r="RQ5" i="2"/>
  <c r="RA5" i="2"/>
  <c r="QK5" i="2"/>
  <c r="PU5" i="2"/>
  <c r="PE5" i="2"/>
  <c r="OO5" i="2"/>
  <c r="NY5" i="2"/>
  <c r="NI5" i="2"/>
  <c r="MS5" i="2"/>
  <c r="MC5" i="2"/>
  <c r="LM5" i="2"/>
  <c r="KW5" i="2"/>
  <c r="KG5" i="2"/>
  <c r="QA5" i="2"/>
  <c r="KM5" i="2"/>
  <c r="SF5" i="2"/>
  <c r="RP5" i="2"/>
  <c r="QZ5" i="2"/>
  <c r="QJ5" i="2"/>
  <c r="PT5" i="2"/>
  <c r="PD5" i="2"/>
  <c r="ON5" i="2"/>
  <c r="NX5" i="2"/>
  <c r="NH5" i="2"/>
  <c r="MR5" i="2"/>
  <c r="MB5" i="2"/>
  <c r="LL5" i="2"/>
  <c r="KV5" i="2"/>
  <c r="KF5" i="2"/>
  <c r="SE5" i="2"/>
  <c r="RO5" i="2"/>
  <c r="QY5" i="2"/>
  <c r="QI5" i="2"/>
  <c r="PS5" i="2"/>
  <c r="PC5" i="2"/>
  <c r="OM5" i="2"/>
  <c r="NW5" i="2"/>
  <c r="NG5" i="2"/>
  <c r="MQ5" i="2"/>
  <c r="MA5" i="2"/>
  <c r="LK5" i="2"/>
  <c r="KU5" i="2"/>
  <c r="KE5" i="2"/>
  <c r="OE5" i="2"/>
  <c r="SD5" i="2"/>
  <c r="RN5" i="2"/>
  <c r="QX5" i="2"/>
  <c r="QH5" i="2"/>
  <c r="PR5" i="2"/>
  <c r="PB5" i="2"/>
  <c r="OL5" i="2"/>
  <c r="NV5" i="2"/>
  <c r="NF5" i="2"/>
  <c r="MP5" i="2"/>
  <c r="LZ5" i="2"/>
  <c r="LJ5" i="2"/>
  <c r="KT5" i="2"/>
  <c r="KD5" i="2"/>
  <c r="LC5" i="2"/>
  <c r="SC5" i="2"/>
  <c r="RM5" i="2"/>
  <c r="QW5" i="2"/>
  <c r="QG5" i="2"/>
  <c r="PQ5" i="2"/>
  <c r="PA5" i="2"/>
  <c r="OK5" i="2"/>
  <c r="NU5" i="2"/>
  <c r="NE5" i="2"/>
  <c r="MO5" i="2"/>
  <c r="LY5" i="2"/>
  <c r="LI5" i="2"/>
  <c r="KS5" i="2"/>
  <c r="KC5" i="2"/>
  <c r="SB5" i="2"/>
  <c r="RL5" i="2"/>
  <c r="QV5" i="2"/>
  <c r="QF5" i="2"/>
  <c r="PP5" i="2"/>
  <c r="OZ5" i="2"/>
  <c r="OJ5" i="2"/>
  <c r="NT5" i="2"/>
  <c r="ND5" i="2"/>
  <c r="MN5" i="2"/>
  <c r="LX5" i="2"/>
  <c r="LH5" i="2"/>
  <c r="KR5" i="2"/>
  <c r="KB5" i="2"/>
  <c r="SM5" i="2"/>
  <c r="MI5" i="2"/>
  <c r="SA5" i="2"/>
  <c r="RK5" i="2"/>
  <c r="QU5" i="2"/>
  <c r="QE5" i="2"/>
  <c r="PO5" i="2"/>
  <c r="OY5" i="2"/>
  <c r="OI5" i="2"/>
  <c r="NS5" i="2"/>
  <c r="NC5" i="2"/>
  <c r="MM5" i="2"/>
  <c r="LW5" i="2"/>
  <c r="LG5" i="2"/>
  <c r="KQ5" i="2"/>
  <c r="MY5" i="2"/>
  <c r="SP5" i="2"/>
  <c r="RZ5" i="2"/>
  <c r="RJ5" i="2"/>
  <c r="QT5" i="2"/>
  <c r="QD5" i="2"/>
  <c r="PN5" i="2"/>
  <c r="OX5" i="2"/>
  <c r="OH5" i="2"/>
  <c r="NR5" i="2"/>
  <c r="NB5" i="2"/>
  <c r="ML5" i="2"/>
  <c r="LV5" i="2"/>
  <c r="LF5" i="2"/>
  <c r="KP5" i="2"/>
  <c r="NO5" i="2"/>
  <c r="SO5" i="2"/>
  <c r="RY5" i="2"/>
  <c r="RI5" i="2"/>
  <c r="QS5" i="2"/>
  <c r="QC5" i="2"/>
  <c r="PM5" i="2"/>
  <c r="OW5" i="2"/>
  <c r="OG5" i="2"/>
  <c r="NQ5" i="2"/>
  <c r="NA5" i="2"/>
  <c r="MK5" i="2"/>
  <c r="LU5" i="2"/>
  <c r="LE5" i="2"/>
  <c r="KO5" i="2"/>
  <c r="PK5" i="2"/>
  <c r="SN5" i="2"/>
  <c r="RX5" i="2"/>
  <c r="RH5" i="2"/>
  <c r="QR5" i="2"/>
  <c r="QB5" i="2"/>
  <c r="PL5" i="2"/>
  <c r="OV5" i="2"/>
  <c r="OF5" i="2"/>
  <c r="NP5" i="2"/>
  <c r="MZ5" i="2"/>
  <c r="MJ5" i="2"/>
  <c r="LT5" i="2"/>
  <c r="LD5" i="2"/>
  <c r="KN5" i="2"/>
  <c r="QQ5" i="2"/>
  <c r="LS5" i="2"/>
  <c r="SL5" i="2"/>
  <c r="RV5" i="2"/>
  <c r="RF5" i="2"/>
  <c r="QP5" i="2"/>
  <c r="PZ5" i="2"/>
  <c r="PJ5" i="2"/>
  <c r="OT5" i="2"/>
  <c r="OD5" i="2"/>
  <c r="NN5" i="2"/>
  <c r="MX5" i="2"/>
  <c r="MH5" i="2"/>
  <c r="LR5" i="2"/>
  <c r="LB5" i="2"/>
  <c r="KL5" i="2"/>
  <c r="SG9" i="2"/>
  <c r="RQ9" i="2"/>
  <c r="RA9" i="2"/>
  <c r="QK9" i="2"/>
  <c r="PU9" i="2"/>
  <c r="PE9" i="2"/>
  <c r="OO9" i="2"/>
  <c r="NY9" i="2"/>
  <c r="NI9" i="2"/>
  <c r="MS9" i="2"/>
  <c r="MC9" i="2"/>
  <c r="LM9" i="2"/>
  <c r="KW9" i="2"/>
  <c r="KG9" i="2"/>
  <c r="OA9" i="2"/>
  <c r="SF9" i="2"/>
  <c r="RP9" i="2"/>
  <c r="QZ9" i="2"/>
  <c r="QJ9" i="2"/>
  <c r="PT9" i="2"/>
  <c r="PD9" i="2"/>
  <c r="ON9" i="2"/>
  <c r="NX9" i="2"/>
  <c r="NH9" i="2"/>
  <c r="MR9" i="2"/>
  <c r="MB9" i="2"/>
  <c r="LL9" i="2"/>
  <c r="KV9" i="2"/>
  <c r="KF9" i="2"/>
  <c r="PW9" i="2"/>
  <c r="SE9" i="2"/>
  <c r="RO9" i="2"/>
  <c r="QY9" i="2"/>
  <c r="QI9" i="2"/>
  <c r="PS9" i="2"/>
  <c r="PC9" i="2"/>
  <c r="OM9" i="2"/>
  <c r="NW9" i="2"/>
  <c r="NG9" i="2"/>
  <c r="MQ9" i="2"/>
  <c r="MA9" i="2"/>
  <c r="LK9" i="2"/>
  <c r="KU9" i="2"/>
  <c r="KE9" i="2"/>
  <c r="RC9" i="2"/>
  <c r="SD9" i="2"/>
  <c r="RN9" i="2"/>
  <c r="QX9" i="2"/>
  <c r="QH9" i="2"/>
  <c r="PR9" i="2"/>
  <c r="PB9" i="2"/>
  <c r="OL9" i="2"/>
  <c r="NV9" i="2"/>
  <c r="NF9" i="2"/>
  <c r="MP9" i="2"/>
  <c r="LZ9" i="2"/>
  <c r="LJ9" i="2"/>
  <c r="KT9" i="2"/>
  <c r="KD9" i="2"/>
  <c r="KI9" i="2"/>
  <c r="SC9" i="2"/>
  <c r="RM9" i="2"/>
  <c r="QW9" i="2"/>
  <c r="QG9" i="2"/>
  <c r="PQ9" i="2"/>
  <c r="PA9" i="2"/>
  <c r="OK9" i="2"/>
  <c r="NU9" i="2"/>
  <c r="NE9" i="2"/>
  <c r="MO9" i="2"/>
  <c r="LY9" i="2"/>
  <c r="LI9" i="2"/>
  <c r="KS9" i="2"/>
  <c r="KC9" i="2"/>
  <c r="ME9" i="2"/>
  <c r="SB9" i="2"/>
  <c r="RL9" i="2"/>
  <c r="QV9" i="2"/>
  <c r="QF9" i="2"/>
  <c r="PP9" i="2"/>
  <c r="OZ9" i="2"/>
  <c r="OJ9" i="2"/>
  <c r="NT9" i="2"/>
  <c r="ND9" i="2"/>
  <c r="MN9" i="2"/>
  <c r="LX9" i="2"/>
  <c r="LH9" i="2"/>
  <c r="KR9" i="2"/>
  <c r="KB9" i="2"/>
  <c r="SA9" i="2"/>
  <c r="RK9" i="2"/>
  <c r="QU9" i="2"/>
  <c r="QE9" i="2"/>
  <c r="PO9" i="2"/>
  <c r="OY9" i="2"/>
  <c r="OI9" i="2"/>
  <c r="NS9" i="2"/>
  <c r="NC9" i="2"/>
  <c r="MM9" i="2"/>
  <c r="LW9" i="2"/>
  <c r="LG9" i="2"/>
  <c r="KQ9" i="2"/>
  <c r="PG9" i="2"/>
  <c r="SP9" i="2"/>
  <c r="RZ9" i="2"/>
  <c r="RJ9" i="2"/>
  <c r="QT9" i="2"/>
  <c r="QD9" i="2"/>
  <c r="PN9" i="2"/>
  <c r="OX9" i="2"/>
  <c r="OH9" i="2"/>
  <c r="NR9" i="2"/>
  <c r="NB9" i="2"/>
  <c r="ML9" i="2"/>
  <c r="LV9" i="2"/>
  <c r="LF9" i="2"/>
  <c r="KP9" i="2"/>
  <c r="LO9" i="2"/>
  <c r="SO9" i="2"/>
  <c r="RY9" i="2"/>
  <c r="RI9" i="2"/>
  <c r="QS9" i="2"/>
  <c r="QC9" i="2"/>
  <c r="PM9" i="2"/>
  <c r="OW9" i="2"/>
  <c r="OG9" i="2"/>
  <c r="NQ9" i="2"/>
  <c r="NA9" i="2"/>
  <c r="MK9" i="2"/>
  <c r="LU9" i="2"/>
  <c r="LE9" i="2"/>
  <c r="KO9" i="2"/>
  <c r="QM9" i="2"/>
  <c r="SN9" i="2"/>
  <c r="RX9" i="2"/>
  <c r="RH9" i="2"/>
  <c r="QR9" i="2"/>
  <c r="QB9" i="2"/>
  <c r="PL9" i="2"/>
  <c r="OV9" i="2"/>
  <c r="OF9" i="2"/>
  <c r="NP9" i="2"/>
  <c r="MZ9" i="2"/>
  <c r="MJ9" i="2"/>
  <c r="LT9" i="2"/>
  <c r="LD9" i="2"/>
  <c r="KN9" i="2"/>
  <c r="MU9" i="2"/>
  <c r="SM9" i="2"/>
  <c r="RW9" i="2"/>
  <c r="RG9" i="2"/>
  <c r="QQ9" i="2"/>
  <c r="QA9" i="2"/>
  <c r="PK9" i="2"/>
  <c r="OU9" i="2"/>
  <c r="OE9" i="2"/>
  <c r="NO9" i="2"/>
  <c r="MY9" i="2"/>
  <c r="MI9" i="2"/>
  <c r="LS9" i="2"/>
  <c r="LC9" i="2"/>
  <c r="KM9" i="2"/>
  <c r="NK9" i="2"/>
  <c r="SL9" i="2"/>
  <c r="RV9" i="2"/>
  <c r="RF9" i="2"/>
  <c r="QP9" i="2"/>
  <c r="PZ9" i="2"/>
  <c r="PJ9" i="2"/>
  <c r="OT9" i="2"/>
  <c r="OD9" i="2"/>
  <c r="NN9" i="2"/>
  <c r="MX9" i="2"/>
  <c r="MH9" i="2"/>
  <c r="LR9" i="2"/>
  <c r="LB9" i="2"/>
  <c r="KL9" i="2"/>
  <c r="RS9" i="2"/>
  <c r="KY9" i="2"/>
  <c r="SK9" i="2"/>
  <c r="RU9" i="2"/>
  <c r="RE9" i="2"/>
  <c r="QO9" i="2"/>
  <c r="PY9" i="2"/>
  <c r="PI9" i="2"/>
  <c r="OS9" i="2"/>
  <c r="OC9" i="2"/>
  <c r="NM9" i="2"/>
  <c r="MW9" i="2"/>
  <c r="MG9" i="2"/>
  <c r="LQ9" i="2"/>
  <c r="LA9" i="2"/>
  <c r="KK9" i="2"/>
  <c r="OQ9" i="2"/>
  <c r="SJ9" i="2"/>
  <c r="RT9" i="2"/>
  <c r="RD9" i="2"/>
  <c r="QN9" i="2"/>
  <c r="PX9" i="2"/>
  <c r="PH9" i="2"/>
  <c r="OR9" i="2"/>
  <c r="OB9" i="2"/>
  <c r="NL9" i="2"/>
  <c r="MV9" i="2"/>
  <c r="MF9" i="2"/>
  <c r="LP9" i="2"/>
  <c r="KZ9" i="2"/>
  <c r="KJ9" i="2"/>
  <c r="SI9" i="2"/>
  <c r="SH9" i="2"/>
  <c r="RR9" i="2"/>
  <c r="RB9" i="2"/>
  <c r="QL9" i="2"/>
  <c r="PV9" i="2"/>
  <c r="PF9" i="2"/>
  <c r="OP9" i="2"/>
  <c r="NZ9" i="2"/>
  <c r="NJ9" i="2"/>
  <c r="MT9" i="2"/>
  <c r="MD9" i="2"/>
  <c r="LN9" i="2"/>
  <c r="KX9" i="2"/>
  <c r="KH9" i="2"/>
  <c r="SB22" i="2"/>
  <c r="RL22" i="2"/>
  <c r="QV22" i="2"/>
  <c r="QF22" i="2"/>
  <c r="PP22" i="2"/>
  <c r="OZ22" i="2"/>
  <c r="OJ22" i="2"/>
  <c r="NT22" i="2"/>
  <c r="ND22" i="2"/>
  <c r="MN22" i="2"/>
  <c r="LX22" i="2"/>
  <c r="LH22" i="2"/>
  <c r="KR22" i="2"/>
  <c r="KB22" i="2"/>
  <c r="SD22" i="2"/>
  <c r="LZ22" i="2"/>
  <c r="SA22" i="2"/>
  <c r="RK22" i="2"/>
  <c r="QU22" i="2"/>
  <c r="QE22" i="2"/>
  <c r="PO22" i="2"/>
  <c r="OY22" i="2"/>
  <c r="OI22" i="2"/>
  <c r="NS22" i="2"/>
  <c r="NC22" i="2"/>
  <c r="MM22" i="2"/>
  <c r="LW22" i="2"/>
  <c r="LG22" i="2"/>
  <c r="KQ22" i="2"/>
  <c r="PB22" i="2"/>
  <c r="SP22" i="2"/>
  <c r="RZ22" i="2"/>
  <c r="RJ22" i="2"/>
  <c r="QT22" i="2"/>
  <c r="QD22" i="2"/>
  <c r="PN22" i="2"/>
  <c r="OX22" i="2"/>
  <c r="OH22" i="2"/>
  <c r="NR22" i="2"/>
  <c r="NB22" i="2"/>
  <c r="ML22" i="2"/>
  <c r="LV22" i="2"/>
  <c r="LF22" i="2"/>
  <c r="KP22" i="2"/>
  <c r="SO22" i="2"/>
  <c r="RY22" i="2"/>
  <c r="RI22" i="2"/>
  <c r="QS22" i="2"/>
  <c r="QC22" i="2"/>
  <c r="PM22" i="2"/>
  <c r="OW22" i="2"/>
  <c r="OG22" i="2"/>
  <c r="NQ22" i="2"/>
  <c r="NA22" i="2"/>
  <c r="MK22" i="2"/>
  <c r="LU22" i="2"/>
  <c r="LE22" i="2"/>
  <c r="KO22" i="2"/>
  <c r="SN22" i="2"/>
  <c r="RX22" i="2"/>
  <c r="RH22" i="2"/>
  <c r="QR22" i="2"/>
  <c r="QB22" i="2"/>
  <c r="PL22" i="2"/>
  <c r="OV22" i="2"/>
  <c r="OF22" i="2"/>
  <c r="NP22" i="2"/>
  <c r="MZ22" i="2"/>
  <c r="MJ22" i="2"/>
  <c r="LT22" i="2"/>
  <c r="LD22" i="2"/>
  <c r="KN22" i="2"/>
  <c r="LJ22" i="2"/>
  <c r="SM22" i="2"/>
  <c r="RW22" i="2"/>
  <c r="RG22" i="2"/>
  <c r="QQ22" i="2"/>
  <c r="QA22" i="2"/>
  <c r="PK22" i="2"/>
  <c r="OU22" i="2"/>
  <c r="OE22" i="2"/>
  <c r="NO22" i="2"/>
  <c r="MY22" i="2"/>
  <c r="MI22" i="2"/>
  <c r="LS22" i="2"/>
  <c r="LC22" i="2"/>
  <c r="KM22" i="2"/>
  <c r="SL22" i="2"/>
  <c r="RV22" i="2"/>
  <c r="RF22" i="2"/>
  <c r="QP22" i="2"/>
  <c r="PZ22" i="2"/>
  <c r="PJ22" i="2"/>
  <c r="OT22" i="2"/>
  <c r="OD22" i="2"/>
  <c r="NN22" i="2"/>
  <c r="MX22" i="2"/>
  <c r="MH22" i="2"/>
  <c r="LR22" i="2"/>
  <c r="LB22" i="2"/>
  <c r="KL22" i="2"/>
  <c r="RN22" i="2"/>
  <c r="OL22" i="2"/>
  <c r="KD22" i="2"/>
  <c r="SK22" i="2"/>
  <c r="RU22" i="2"/>
  <c r="RE22" i="2"/>
  <c r="QO22" i="2"/>
  <c r="PY22" i="2"/>
  <c r="PI22" i="2"/>
  <c r="OS22" i="2"/>
  <c r="OC22" i="2"/>
  <c r="NM22" i="2"/>
  <c r="MW22" i="2"/>
  <c r="MG22" i="2"/>
  <c r="LQ22" i="2"/>
  <c r="LA22" i="2"/>
  <c r="KK22" i="2"/>
  <c r="QH22" i="2"/>
  <c r="SJ22" i="2"/>
  <c r="RT22" i="2"/>
  <c r="RD22" i="2"/>
  <c r="QN22" i="2"/>
  <c r="PX22" i="2"/>
  <c r="PH22" i="2"/>
  <c r="OR22" i="2"/>
  <c r="OB22" i="2"/>
  <c r="NL22" i="2"/>
  <c r="MV22" i="2"/>
  <c r="MF22" i="2"/>
  <c r="LP22" i="2"/>
  <c r="KZ22" i="2"/>
  <c r="KJ22" i="2"/>
  <c r="QX22" i="2"/>
  <c r="NF22" i="2"/>
  <c r="SI22" i="2"/>
  <c r="RS22" i="2"/>
  <c r="RC22" i="2"/>
  <c r="QM22" i="2"/>
  <c r="PW22" i="2"/>
  <c r="PG22" i="2"/>
  <c r="OQ22" i="2"/>
  <c r="OA22" i="2"/>
  <c r="NK22" i="2"/>
  <c r="MU22" i="2"/>
  <c r="ME22" i="2"/>
  <c r="LO22" i="2"/>
  <c r="KY22" i="2"/>
  <c r="KI22" i="2"/>
  <c r="SH22" i="2"/>
  <c r="RR22" i="2"/>
  <c r="RB22" i="2"/>
  <c r="QL22" i="2"/>
  <c r="PV22" i="2"/>
  <c r="PF22" i="2"/>
  <c r="OP22" i="2"/>
  <c r="NZ22" i="2"/>
  <c r="NJ22" i="2"/>
  <c r="MT22" i="2"/>
  <c r="MD22" i="2"/>
  <c r="LN22" i="2"/>
  <c r="KX22" i="2"/>
  <c r="KH22" i="2"/>
  <c r="KT22" i="2"/>
  <c r="SG22" i="2"/>
  <c r="RQ22" i="2"/>
  <c r="RA22" i="2"/>
  <c r="QK22" i="2"/>
  <c r="PU22" i="2"/>
  <c r="PE22" i="2"/>
  <c r="OO22" i="2"/>
  <c r="NY22" i="2"/>
  <c r="NI22" i="2"/>
  <c r="MS22" i="2"/>
  <c r="MC22" i="2"/>
  <c r="LM22" i="2"/>
  <c r="KW22" i="2"/>
  <c r="KG22" i="2"/>
  <c r="SF22" i="2"/>
  <c r="RP22" i="2"/>
  <c r="QZ22" i="2"/>
  <c r="QJ22" i="2"/>
  <c r="PT22" i="2"/>
  <c r="PD22" i="2"/>
  <c r="ON22" i="2"/>
  <c r="NX22" i="2"/>
  <c r="NH22" i="2"/>
  <c r="MR22" i="2"/>
  <c r="MB22" i="2"/>
  <c r="LL22" i="2"/>
  <c r="KV22" i="2"/>
  <c r="KF22" i="2"/>
  <c r="PR22" i="2"/>
  <c r="MP22" i="2"/>
  <c r="SE22" i="2"/>
  <c r="RO22" i="2"/>
  <c r="QY22" i="2"/>
  <c r="QI22" i="2"/>
  <c r="PS22" i="2"/>
  <c r="PC22" i="2"/>
  <c r="OM22" i="2"/>
  <c r="NW22" i="2"/>
  <c r="NG22" i="2"/>
  <c r="MQ22" i="2"/>
  <c r="MA22" i="2"/>
  <c r="LK22" i="2"/>
  <c r="KU22" i="2"/>
  <c r="KE22" i="2"/>
  <c r="NV22" i="2"/>
  <c r="SC22" i="2"/>
  <c r="RM22" i="2"/>
  <c r="QW22" i="2"/>
  <c r="QG22" i="2"/>
  <c r="PQ22" i="2"/>
  <c r="PA22" i="2"/>
  <c r="OK22" i="2"/>
  <c r="NU22" i="2"/>
  <c r="NE22" i="2"/>
  <c r="MO22" i="2"/>
  <c r="LY22" i="2"/>
  <c r="LI22" i="2"/>
  <c r="KS22" i="2"/>
  <c r="KC22" i="2"/>
  <c r="SO17" i="2"/>
  <c r="RY17" i="2"/>
  <c r="RI17" i="2"/>
  <c r="QS17" i="2"/>
  <c r="QC17" i="2"/>
  <c r="PM17" i="2"/>
  <c r="OW17" i="2"/>
  <c r="OG17" i="2"/>
  <c r="NQ17" i="2"/>
  <c r="NA17" i="2"/>
  <c r="MK17" i="2"/>
  <c r="LU17" i="2"/>
  <c r="LE17" i="2"/>
  <c r="KO17" i="2"/>
  <c r="NC17" i="2"/>
  <c r="SN17" i="2"/>
  <c r="RX17" i="2"/>
  <c r="RH17" i="2"/>
  <c r="QR17" i="2"/>
  <c r="QB17" i="2"/>
  <c r="PL17" i="2"/>
  <c r="OV17" i="2"/>
  <c r="OF17" i="2"/>
  <c r="NP17" i="2"/>
  <c r="MZ17" i="2"/>
  <c r="MJ17" i="2"/>
  <c r="LT17" i="2"/>
  <c r="LD17" i="2"/>
  <c r="KN17" i="2"/>
  <c r="OI17" i="2"/>
  <c r="SM17" i="2"/>
  <c r="RW17" i="2"/>
  <c r="RG17" i="2"/>
  <c r="QQ17" i="2"/>
  <c r="QA17" i="2"/>
  <c r="PK17" i="2"/>
  <c r="OU17" i="2"/>
  <c r="OE17" i="2"/>
  <c r="NO17" i="2"/>
  <c r="MY17" i="2"/>
  <c r="MI17" i="2"/>
  <c r="LS17" i="2"/>
  <c r="LC17" i="2"/>
  <c r="KM17" i="2"/>
  <c r="SL17" i="2"/>
  <c r="RV17" i="2"/>
  <c r="RF17" i="2"/>
  <c r="QP17" i="2"/>
  <c r="PZ17" i="2"/>
  <c r="PJ17" i="2"/>
  <c r="OT17" i="2"/>
  <c r="OD17" i="2"/>
  <c r="NN17" i="2"/>
  <c r="MX17" i="2"/>
  <c r="MH17" i="2"/>
  <c r="LR17" i="2"/>
  <c r="LB17" i="2"/>
  <c r="KL17" i="2"/>
  <c r="SK17" i="2"/>
  <c r="RU17" i="2"/>
  <c r="RE17" i="2"/>
  <c r="QO17" i="2"/>
  <c r="PY17" i="2"/>
  <c r="PI17" i="2"/>
  <c r="OS17" i="2"/>
  <c r="OC17" i="2"/>
  <c r="NM17" i="2"/>
  <c r="MW17" i="2"/>
  <c r="MG17" i="2"/>
  <c r="LQ17" i="2"/>
  <c r="LA17" i="2"/>
  <c r="KK17" i="2"/>
  <c r="NS17" i="2"/>
  <c r="SJ17" i="2"/>
  <c r="RT17" i="2"/>
  <c r="RD17" i="2"/>
  <c r="QN17" i="2"/>
  <c r="PX17" i="2"/>
  <c r="PH17" i="2"/>
  <c r="OR17" i="2"/>
  <c r="OB17" i="2"/>
  <c r="NL17" i="2"/>
  <c r="MV17" i="2"/>
  <c r="MF17" i="2"/>
  <c r="LP17" i="2"/>
  <c r="KZ17" i="2"/>
  <c r="KJ17" i="2"/>
  <c r="SI17" i="2"/>
  <c r="RS17" i="2"/>
  <c r="RC17" i="2"/>
  <c r="QM17" i="2"/>
  <c r="PW17" i="2"/>
  <c r="PG17" i="2"/>
  <c r="OQ17" i="2"/>
  <c r="OA17" i="2"/>
  <c r="NK17" i="2"/>
  <c r="MU17" i="2"/>
  <c r="ME17" i="2"/>
  <c r="LO17" i="2"/>
  <c r="KY17" i="2"/>
  <c r="KI17" i="2"/>
  <c r="SH17" i="2"/>
  <c r="RR17" i="2"/>
  <c r="RB17" i="2"/>
  <c r="QL17" i="2"/>
  <c r="PV17" i="2"/>
  <c r="PF17" i="2"/>
  <c r="OP17" i="2"/>
  <c r="NZ17" i="2"/>
  <c r="NJ17" i="2"/>
  <c r="MT17" i="2"/>
  <c r="MD17" i="2"/>
  <c r="LN17" i="2"/>
  <c r="KX17" i="2"/>
  <c r="KH17" i="2"/>
  <c r="PO17" i="2"/>
  <c r="KQ17" i="2"/>
  <c r="SG17" i="2"/>
  <c r="RQ17" i="2"/>
  <c r="RA17" i="2"/>
  <c r="QK17" i="2"/>
  <c r="PU17" i="2"/>
  <c r="PE17" i="2"/>
  <c r="OO17" i="2"/>
  <c r="NY17" i="2"/>
  <c r="NI17" i="2"/>
  <c r="MS17" i="2"/>
  <c r="MC17" i="2"/>
  <c r="LM17" i="2"/>
  <c r="KW17" i="2"/>
  <c r="KG17" i="2"/>
  <c r="OY17" i="2"/>
  <c r="SF17" i="2"/>
  <c r="RP17" i="2"/>
  <c r="QZ17" i="2"/>
  <c r="QJ17" i="2"/>
  <c r="PT17" i="2"/>
  <c r="PD17" i="2"/>
  <c r="ON17" i="2"/>
  <c r="NX17" i="2"/>
  <c r="NH17" i="2"/>
  <c r="MR17" i="2"/>
  <c r="MB17" i="2"/>
  <c r="LL17" i="2"/>
  <c r="KV17" i="2"/>
  <c r="KF17" i="2"/>
  <c r="QU17" i="2"/>
  <c r="SE17" i="2"/>
  <c r="RO17" i="2"/>
  <c r="QY17" i="2"/>
  <c r="QI17" i="2"/>
  <c r="PS17" i="2"/>
  <c r="PC17" i="2"/>
  <c r="OM17" i="2"/>
  <c r="NW17" i="2"/>
  <c r="NG17" i="2"/>
  <c r="MQ17" i="2"/>
  <c r="MA17" i="2"/>
  <c r="LK17" i="2"/>
  <c r="KU17" i="2"/>
  <c r="KE17" i="2"/>
  <c r="LW17" i="2"/>
  <c r="SD17" i="2"/>
  <c r="RN17" i="2"/>
  <c r="QX17" i="2"/>
  <c r="QH17" i="2"/>
  <c r="PR17" i="2"/>
  <c r="PB17" i="2"/>
  <c r="OL17" i="2"/>
  <c r="NV17" i="2"/>
  <c r="NF17" i="2"/>
  <c r="MP17" i="2"/>
  <c r="LZ17" i="2"/>
  <c r="LJ17" i="2"/>
  <c r="KT17" i="2"/>
  <c r="KD17" i="2"/>
  <c r="SA17" i="2"/>
  <c r="LG17" i="2"/>
  <c r="SC17" i="2"/>
  <c r="RM17" i="2"/>
  <c r="QW17" i="2"/>
  <c r="QG17" i="2"/>
  <c r="PQ17" i="2"/>
  <c r="PA17" i="2"/>
  <c r="OK17" i="2"/>
  <c r="NU17" i="2"/>
  <c r="NE17" i="2"/>
  <c r="MO17" i="2"/>
  <c r="LY17" i="2"/>
  <c r="LI17" i="2"/>
  <c r="KS17" i="2"/>
  <c r="KC17" i="2"/>
  <c r="QE17" i="2"/>
  <c r="SB17" i="2"/>
  <c r="RL17" i="2"/>
  <c r="QV17" i="2"/>
  <c r="QF17" i="2"/>
  <c r="PP17" i="2"/>
  <c r="OZ17" i="2"/>
  <c r="OJ17" i="2"/>
  <c r="NT17" i="2"/>
  <c r="ND17" i="2"/>
  <c r="MN17" i="2"/>
  <c r="LX17" i="2"/>
  <c r="LH17" i="2"/>
  <c r="KR17" i="2"/>
  <c r="KB17" i="2"/>
  <c r="RK17" i="2"/>
  <c r="MM17" i="2"/>
  <c r="SP17" i="2"/>
  <c r="RZ17" i="2"/>
  <c r="RJ17" i="2"/>
  <c r="QT17" i="2"/>
  <c r="QD17" i="2"/>
  <c r="PN17" i="2"/>
  <c r="OX17" i="2"/>
  <c r="OH17" i="2"/>
  <c r="NR17" i="2"/>
  <c r="NB17" i="2"/>
  <c r="ML17" i="2"/>
  <c r="LV17" i="2"/>
  <c r="LF17" i="2"/>
  <c r="KP17" i="2"/>
  <c r="SB6" i="2"/>
  <c r="RL6" i="2"/>
  <c r="QV6" i="2"/>
  <c r="QF6" i="2"/>
  <c r="PP6" i="2"/>
  <c r="OZ6" i="2"/>
  <c r="OJ6" i="2"/>
  <c r="NT6" i="2"/>
  <c r="ND6" i="2"/>
  <c r="MN6" i="2"/>
  <c r="LX6" i="2"/>
  <c r="LH6" i="2"/>
  <c r="KR6" i="2"/>
  <c r="KB6" i="2"/>
  <c r="PB6" i="2"/>
  <c r="SA6" i="2"/>
  <c r="RK6" i="2"/>
  <c r="QU6" i="2"/>
  <c r="QE6" i="2"/>
  <c r="PO6" i="2"/>
  <c r="OY6" i="2"/>
  <c r="OI6" i="2"/>
  <c r="NS6" i="2"/>
  <c r="NC6" i="2"/>
  <c r="MM6" i="2"/>
  <c r="LW6" i="2"/>
  <c r="LG6" i="2"/>
  <c r="KQ6" i="2"/>
  <c r="NV6" i="2"/>
  <c r="SP6" i="2"/>
  <c r="RZ6" i="2"/>
  <c r="RJ6" i="2"/>
  <c r="QT6" i="2"/>
  <c r="QD6" i="2"/>
  <c r="PN6" i="2"/>
  <c r="OX6" i="2"/>
  <c r="OH6" i="2"/>
  <c r="NR6" i="2"/>
  <c r="NB6" i="2"/>
  <c r="ML6" i="2"/>
  <c r="LV6" i="2"/>
  <c r="LF6" i="2"/>
  <c r="KP6" i="2"/>
  <c r="SO6" i="2"/>
  <c r="RY6" i="2"/>
  <c r="RI6" i="2"/>
  <c r="QS6" i="2"/>
  <c r="QC6" i="2"/>
  <c r="PM6" i="2"/>
  <c r="OW6" i="2"/>
  <c r="OG6" i="2"/>
  <c r="NQ6" i="2"/>
  <c r="NA6" i="2"/>
  <c r="MK6" i="2"/>
  <c r="LU6" i="2"/>
  <c r="LE6" i="2"/>
  <c r="KO6" i="2"/>
  <c r="SD6" i="2"/>
  <c r="SN6" i="2"/>
  <c r="RX6" i="2"/>
  <c r="RH6" i="2"/>
  <c r="QR6" i="2"/>
  <c r="QB6" i="2"/>
  <c r="PL6" i="2"/>
  <c r="OV6" i="2"/>
  <c r="OF6" i="2"/>
  <c r="NP6" i="2"/>
  <c r="MZ6" i="2"/>
  <c r="MJ6" i="2"/>
  <c r="LT6" i="2"/>
  <c r="LD6" i="2"/>
  <c r="KN6" i="2"/>
  <c r="QX6" i="2"/>
  <c r="LZ6" i="2"/>
  <c r="SM6" i="2"/>
  <c r="RW6" i="2"/>
  <c r="RG6" i="2"/>
  <c r="QQ6" i="2"/>
  <c r="QA6" i="2"/>
  <c r="PK6" i="2"/>
  <c r="OU6" i="2"/>
  <c r="OE6" i="2"/>
  <c r="NO6" i="2"/>
  <c r="MY6" i="2"/>
  <c r="MI6" i="2"/>
  <c r="LS6" i="2"/>
  <c r="LC6" i="2"/>
  <c r="KM6" i="2"/>
  <c r="SL6" i="2"/>
  <c r="RV6" i="2"/>
  <c r="RF6" i="2"/>
  <c r="QP6" i="2"/>
  <c r="PZ6" i="2"/>
  <c r="PJ6" i="2"/>
  <c r="OT6" i="2"/>
  <c r="OD6" i="2"/>
  <c r="NN6" i="2"/>
  <c r="MX6" i="2"/>
  <c r="MH6" i="2"/>
  <c r="LR6" i="2"/>
  <c r="LB6" i="2"/>
  <c r="KL6" i="2"/>
  <c r="OL6" i="2"/>
  <c r="SK6" i="2"/>
  <c r="RU6" i="2"/>
  <c r="RE6" i="2"/>
  <c r="QO6" i="2"/>
  <c r="PY6" i="2"/>
  <c r="PI6" i="2"/>
  <c r="OS6" i="2"/>
  <c r="OC6" i="2"/>
  <c r="NM6" i="2"/>
  <c r="MW6" i="2"/>
  <c r="MG6" i="2"/>
  <c r="LQ6" i="2"/>
  <c r="LA6" i="2"/>
  <c r="KK6" i="2"/>
  <c r="LJ6" i="2"/>
  <c r="SJ6" i="2"/>
  <c r="RT6" i="2"/>
  <c r="RD6" i="2"/>
  <c r="QN6" i="2"/>
  <c r="PX6" i="2"/>
  <c r="PH6" i="2"/>
  <c r="OR6" i="2"/>
  <c r="OB6" i="2"/>
  <c r="NL6" i="2"/>
  <c r="MV6" i="2"/>
  <c r="MF6" i="2"/>
  <c r="LP6" i="2"/>
  <c r="KZ6" i="2"/>
  <c r="KJ6" i="2"/>
  <c r="SI6" i="2"/>
  <c r="RS6" i="2"/>
  <c r="RC6" i="2"/>
  <c r="QM6" i="2"/>
  <c r="PW6" i="2"/>
  <c r="PG6" i="2"/>
  <c r="OQ6" i="2"/>
  <c r="OA6" i="2"/>
  <c r="NK6" i="2"/>
  <c r="MU6" i="2"/>
  <c r="ME6" i="2"/>
  <c r="LO6" i="2"/>
  <c r="KY6" i="2"/>
  <c r="KI6" i="2"/>
  <c r="PR6" i="2"/>
  <c r="SH6" i="2"/>
  <c r="RR6" i="2"/>
  <c r="RB6" i="2"/>
  <c r="QL6" i="2"/>
  <c r="PV6" i="2"/>
  <c r="PF6" i="2"/>
  <c r="OP6" i="2"/>
  <c r="NZ6" i="2"/>
  <c r="NJ6" i="2"/>
  <c r="MT6" i="2"/>
  <c r="MD6" i="2"/>
  <c r="LN6" i="2"/>
  <c r="KX6" i="2"/>
  <c r="KH6" i="2"/>
  <c r="RN6" i="2"/>
  <c r="KT6" i="2"/>
  <c r="SG6" i="2"/>
  <c r="RQ6" i="2"/>
  <c r="RA6" i="2"/>
  <c r="QK6" i="2"/>
  <c r="PU6" i="2"/>
  <c r="PE6" i="2"/>
  <c r="OO6" i="2"/>
  <c r="NY6" i="2"/>
  <c r="NI6" i="2"/>
  <c r="MS6" i="2"/>
  <c r="MC6" i="2"/>
  <c r="LM6" i="2"/>
  <c r="KW6" i="2"/>
  <c r="KG6" i="2"/>
  <c r="QH6" i="2"/>
  <c r="KD6" i="2"/>
  <c r="SF6" i="2"/>
  <c r="RP6" i="2"/>
  <c r="QZ6" i="2"/>
  <c r="QJ6" i="2"/>
  <c r="PT6" i="2"/>
  <c r="PD6" i="2"/>
  <c r="ON6" i="2"/>
  <c r="NX6" i="2"/>
  <c r="NH6" i="2"/>
  <c r="MR6" i="2"/>
  <c r="MB6" i="2"/>
  <c r="LL6" i="2"/>
  <c r="KV6" i="2"/>
  <c r="KF6" i="2"/>
  <c r="NF6" i="2"/>
  <c r="SE6" i="2"/>
  <c r="RO6" i="2"/>
  <c r="QY6" i="2"/>
  <c r="QI6" i="2"/>
  <c r="PS6" i="2"/>
  <c r="PC6" i="2"/>
  <c r="OM6" i="2"/>
  <c r="NW6" i="2"/>
  <c r="NG6" i="2"/>
  <c r="MQ6" i="2"/>
  <c r="MA6" i="2"/>
  <c r="LK6" i="2"/>
  <c r="KU6" i="2"/>
  <c r="KE6" i="2"/>
  <c r="MP6" i="2"/>
  <c r="SC6" i="2"/>
  <c r="RM6" i="2"/>
  <c r="QW6" i="2"/>
  <c r="QG6" i="2"/>
  <c r="PQ6" i="2"/>
  <c r="PA6" i="2"/>
  <c r="OK6" i="2"/>
  <c r="NU6" i="2"/>
  <c r="NE6" i="2"/>
  <c r="MO6" i="2"/>
  <c r="LY6" i="2"/>
  <c r="LI6" i="2"/>
  <c r="KS6" i="2"/>
  <c r="KC6" i="2"/>
  <c r="G17" i="2" a="1"/>
  <c r="G6" i="2" a="1"/>
  <c r="G7" i="2" a="1"/>
  <c r="G21" i="2" a="1"/>
  <c r="G16" i="2" a="1"/>
  <c r="G22" i="2" a="1"/>
  <c r="G11" i="2" a="1"/>
  <c r="G20" i="2" a="1"/>
  <c r="G13" i="2" a="1"/>
  <c r="G10" i="2" a="1"/>
  <c r="G23" i="2" a="1"/>
  <c r="G5" i="2" a="1"/>
  <c r="G19" i="2" a="1"/>
  <c r="G14" i="2" a="1"/>
  <c r="G15" i="2" a="1"/>
  <c r="G8" i="2" a="1"/>
  <c r="G24" i="2" a="1"/>
  <c r="G9" i="2" a="1"/>
  <c r="G12" i="2" a="1"/>
  <c r="G18" i="2" a="1"/>
  <c r="AM24" i="4" l="1"/>
  <c r="AD24" i="4"/>
  <c r="AA24" i="4"/>
  <c r="AF24" i="4"/>
  <c r="AO24" i="4"/>
  <c r="Y24" i="4"/>
  <c r="AH24" i="4"/>
  <c r="AB24" i="4"/>
  <c r="AJ24" i="4"/>
  <c r="AG24" i="4"/>
  <c r="AK24" i="4"/>
  <c r="AL24" i="4"/>
  <c r="AC24" i="4"/>
  <c r="AN24" i="4"/>
  <c r="Z24" i="4"/>
  <c r="AI24" i="4"/>
  <c r="AM31" i="4"/>
  <c r="AA49" i="4"/>
  <c r="AF49" i="4"/>
  <c r="AH31" i="4"/>
  <c r="AK31" i="4"/>
  <c r="AG31" i="4"/>
  <c r="AH49" i="4"/>
  <c r="AM49" i="4"/>
  <c r="AJ31" i="4"/>
  <c r="AL31" i="4"/>
  <c r="AN31" i="4"/>
  <c r="Z49" i="4"/>
  <c r="AD31" i="4"/>
  <c r="AI31" i="4"/>
  <c r="AI48" i="4"/>
  <c r="AH48" i="4"/>
  <c r="AG48" i="4"/>
  <c r="AF48" i="4"/>
  <c r="AD48" i="4"/>
  <c r="AC48" i="4"/>
  <c r="AB48" i="4"/>
  <c r="AK48" i="4"/>
  <c r="AQ48" i="4"/>
  <c r="AA48" i="4"/>
  <c r="AP48" i="4"/>
  <c r="Z48" i="4"/>
  <c r="AO48" i="4"/>
  <c r="Y48" i="4"/>
  <c r="AL48" i="4"/>
  <c r="AJ48" i="4"/>
  <c r="AN48" i="4"/>
  <c r="X48" i="4"/>
  <c r="AM48" i="4"/>
  <c r="AL50" i="4"/>
  <c r="AK50" i="4"/>
  <c r="AI32" i="4"/>
  <c r="AH32" i="4"/>
  <c r="AG32" i="4"/>
  <c r="AF32" i="4"/>
  <c r="AD32" i="4"/>
  <c r="X32" i="4"/>
  <c r="AK32" i="4"/>
  <c r="AC32" i="4"/>
  <c r="AB32" i="4"/>
  <c r="Z32" i="4"/>
  <c r="AN32" i="4"/>
  <c r="AQ32" i="4"/>
  <c r="AA32" i="4"/>
  <c r="Y32" i="4"/>
  <c r="AP32" i="4"/>
  <c r="AO32" i="4"/>
  <c r="AL32" i="4"/>
  <c r="AM32" i="4"/>
  <c r="AJ32" i="4"/>
  <c r="AM50" i="4"/>
  <c r="AL49" i="4"/>
  <c r="AM35" i="4"/>
  <c r="AL35" i="4"/>
  <c r="AJ35" i="4"/>
  <c r="AK35" i="4"/>
  <c r="AI35" i="4"/>
  <c r="AH35" i="4"/>
  <c r="AN35" i="4"/>
  <c r="AG35" i="4"/>
  <c r="AF35" i="4"/>
  <c r="AD35" i="4"/>
  <c r="AP35" i="4"/>
  <c r="Y35" i="4"/>
  <c r="Z35" i="4"/>
  <c r="X35" i="4"/>
  <c r="AC35" i="4"/>
  <c r="AB35" i="4"/>
  <c r="AO35" i="4"/>
  <c r="AQ35" i="4"/>
  <c r="AA35" i="4"/>
  <c r="AO31" i="4"/>
  <c r="AN50" i="4"/>
  <c r="AM43" i="4"/>
  <c r="X43" i="4"/>
  <c r="AL43" i="4"/>
  <c r="AK43" i="4"/>
  <c r="AJ43" i="4"/>
  <c r="AI43" i="4"/>
  <c r="AH43" i="4"/>
  <c r="AG43" i="4"/>
  <c r="AF43" i="4"/>
  <c r="Y43" i="4"/>
  <c r="AD43" i="4"/>
  <c r="AC43" i="4"/>
  <c r="AB43" i="4"/>
  <c r="Z43" i="4"/>
  <c r="AO43" i="4"/>
  <c r="AN43" i="4"/>
  <c r="AQ43" i="4"/>
  <c r="AA43" i="4"/>
  <c r="AP43" i="4"/>
  <c r="Y31" i="4"/>
  <c r="Y50" i="4"/>
  <c r="AN49" i="4"/>
  <c r="AI44" i="4"/>
  <c r="AH44" i="4"/>
  <c r="AG44" i="4"/>
  <c r="AF44" i="4"/>
  <c r="AJ44" i="4"/>
  <c r="AD44" i="4"/>
  <c r="AC44" i="4"/>
  <c r="AB44" i="4"/>
  <c r="AQ44" i="4"/>
  <c r="AA44" i="4"/>
  <c r="AP44" i="4"/>
  <c r="Z44" i="4"/>
  <c r="AO44" i="4"/>
  <c r="Y44" i="4"/>
  <c r="AN44" i="4"/>
  <c r="X44" i="4"/>
  <c r="AM44" i="4"/>
  <c r="AL44" i="4"/>
  <c r="AK44" i="4"/>
  <c r="AA31" i="4"/>
  <c r="AO50" i="4"/>
  <c r="Y49" i="4"/>
  <c r="AD45" i="4"/>
  <c r="AC45" i="4"/>
  <c r="AB45" i="4"/>
  <c r="AQ45" i="4"/>
  <c r="AA45" i="4"/>
  <c r="AP45" i="4"/>
  <c r="Z45" i="4"/>
  <c r="AG45" i="4"/>
  <c r="AO45" i="4"/>
  <c r="Y45" i="4"/>
  <c r="AF45" i="4"/>
  <c r="AN45" i="4"/>
  <c r="X45" i="4"/>
  <c r="AM45" i="4"/>
  <c r="AH45" i="4"/>
  <c r="AL45" i="4"/>
  <c r="AK45" i="4"/>
  <c r="AJ45" i="4"/>
  <c r="AI45" i="4"/>
  <c r="AB50" i="4"/>
  <c r="AO49" i="4"/>
  <c r="AI36" i="4"/>
  <c r="AH36" i="4"/>
  <c r="AG36" i="4"/>
  <c r="AF36" i="4"/>
  <c r="AJ36" i="4"/>
  <c r="AD36" i="4"/>
  <c r="Y36" i="4"/>
  <c r="AC36" i="4"/>
  <c r="Z36" i="4"/>
  <c r="AB36" i="4"/>
  <c r="AQ36" i="4"/>
  <c r="AA36" i="4"/>
  <c r="AP36" i="4"/>
  <c r="AO36" i="4"/>
  <c r="AK36" i="4"/>
  <c r="AN36" i="4"/>
  <c r="X36" i="4"/>
  <c r="AM36" i="4"/>
  <c r="AL36" i="4"/>
  <c r="AD50" i="4"/>
  <c r="Z50" i="4"/>
  <c r="AM39" i="4"/>
  <c r="AL39" i="4"/>
  <c r="AK39" i="4"/>
  <c r="AJ39" i="4"/>
  <c r="AI39" i="4"/>
  <c r="AH39" i="4"/>
  <c r="AG39" i="4"/>
  <c r="AP39" i="4"/>
  <c r="AF39" i="4"/>
  <c r="AN39" i="4"/>
  <c r="AD39" i="4"/>
  <c r="AO39" i="4"/>
  <c r="AC39" i="4"/>
  <c r="Z39" i="4"/>
  <c r="Y39" i="4"/>
  <c r="AB39" i="4"/>
  <c r="AQ39" i="4"/>
  <c r="AA39" i="4"/>
  <c r="X39" i="4"/>
  <c r="AM47" i="4"/>
  <c r="AL47" i="4"/>
  <c r="AK47" i="4"/>
  <c r="AJ47" i="4"/>
  <c r="AI47" i="4"/>
  <c r="AH47" i="4"/>
  <c r="AG47" i="4"/>
  <c r="AP47" i="4"/>
  <c r="AF47" i="4"/>
  <c r="Z47" i="4"/>
  <c r="AN47" i="4"/>
  <c r="AO47" i="4"/>
  <c r="AD47" i="4"/>
  <c r="AC47" i="4"/>
  <c r="AB47" i="4"/>
  <c r="AQ47" i="4"/>
  <c r="AA47" i="4"/>
  <c r="Y47" i="4"/>
  <c r="X47" i="4"/>
  <c r="AB31" i="4"/>
  <c r="AD33" i="4"/>
  <c r="AB33" i="4"/>
  <c r="AC33" i="4"/>
  <c r="AQ33" i="4"/>
  <c r="AA33" i="4"/>
  <c r="AP33" i="4"/>
  <c r="Z33" i="4"/>
  <c r="AN33" i="4"/>
  <c r="AL33" i="4"/>
  <c r="AO33" i="4"/>
  <c r="Y33" i="4"/>
  <c r="AK33" i="4"/>
  <c r="AG33" i="4"/>
  <c r="X33" i="4"/>
  <c r="AM33" i="4"/>
  <c r="AJ33" i="4"/>
  <c r="AF33" i="4"/>
  <c r="AI33" i="4"/>
  <c r="AH33" i="4"/>
  <c r="AF50" i="4"/>
  <c r="AA50" i="4"/>
  <c r="AQ42" i="4"/>
  <c r="AA42" i="4"/>
  <c r="AP42" i="4"/>
  <c r="Z42" i="4"/>
  <c r="AO42" i="4"/>
  <c r="Y42" i="4"/>
  <c r="AN42" i="4"/>
  <c r="X42" i="4"/>
  <c r="AM42" i="4"/>
  <c r="AL42" i="4"/>
  <c r="AB42" i="4"/>
  <c r="AK42" i="4"/>
  <c r="AJ42" i="4"/>
  <c r="AC42" i="4"/>
  <c r="AI42" i="4"/>
  <c r="AH42" i="4"/>
  <c r="AD42" i="4"/>
  <c r="AG42" i="4"/>
  <c r="AF42" i="4"/>
  <c r="AG50" i="4"/>
  <c r="AD37" i="4"/>
  <c r="AC37" i="4"/>
  <c r="AB37" i="4"/>
  <c r="AQ37" i="4"/>
  <c r="AA37" i="4"/>
  <c r="AP37" i="4"/>
  <c r="Z37" i="4"/>
  <c r="AH37" i="4"/>
  <c r="AO37" i="4"/>
  <c r="Y37" i="4"/>
  <c r="AF37" i="4"/>
  <c r="AN37" i="4"/>
  <c r="X37" i="4"/>
  <c r="AM37" i="4"/>
  <c r="AL37" i="4"/>
  <c r="AK37" i="4"/>
  <c r="AJ37" i="4"/>
  <c r="AI37" i="4"/>
  <c r="AG37" i="4"/>
  <c r="AC50" i="4"/>
  <c r="AI49" i="4"/>
  <c r="AB49" i="4"/>
  <c r="AD41" i="4"/>
  <c r="AC41" i="4"/>
  <c r="AF41" i="4"/>
  <c r="AB41" i="4"/>
  <c r="AQ41" i="4"/>
  <c r="AA41" i="4"/>
  <c r="AP41" i="4"/>
  <c r="Z41" i="4"/>
  <c r="AO41" i="4"/>
  <c r="Y41" i="4"/>
  <c r="AG41" i="4"/>
  <c r="AN41" i="4"/>
  <c r="X41" i="4"/>
  <c r="AH41" i="4"/>
  <c r="AM41" i="4"/>
  <c r="AL41" i="4"/>
  <c r="AK41" i="4"/>
  <c r="AJ41" i="4"/>
  <c r="AI41" i="4"/>
  <c r="AQ46" i="4"/>
  <c r="AA46" i="4"/>
  <c r="AP46" i="4"/>
  <c r="Z46" i="4"/>
  <c r="AO46" i="4"/>
  <c r="Y46" i="4"/>
  <c r="AN46" i="4"/>
  <c r="X46" i="4"/>
  <c r="AM46" i="4"/>
  <c r="AL46" i="4"/>
  <c r="AD46" i="4"/>
  <c r="AK46" i="4"/>
  <c r="AC46" i="4"/>
  <c r="AJ46" i="4"/>
  <c r="AI46" i="4"/>
  <c r="AB46" i="4"/>
  <c r="AH46" i="4"/>
  <c r="AG46" i="4"/>
  <c r="AF46" i="4"/>
  <c r="Z31" i="4"/>
  <c r="AH50" i="4"/>
  <c r="AJ49" i="4"/>
  <c r="AC49" i="4"/>
  <c r="AI40" i="4"/>
  <c r="AF40" i="4"/>
  <c r="AH40" i="4"/>
  <c r="AG40" i="4"/>
  <c r="AD40" i="4"/>
  <c r="AC40" i="4"/>
  <c r="AB40" i="4"/>
  <c r="AQ40" i="4"/>
  <c r="AA40" i="4"/>
  <c r="AL40" i="4"/>
  <c r="AP40" i="4"/>
  <c r="Z40" i="4"/>
  <c r="AO40" i="4"/>
  <c r="Y40" i="4"/>
  <c r="AN40" i="4"/>
  <c r="X40" i="4"/>
  <c r="AM40" i="4"/>
  <c r="AK40" i="4"/>
  <c r="AJ40" i="4"/>
  <c r="AC31" i="4"/>
  <c r="AI50" i="4"/>
  <c r="AG49" i="4"/>
  <c r="AD49" i="4"/>
  <c r="AQ34" i="4"/>
  <c r="AA34" i="4"/>
  <c r="AP34" i="4"/>
  <c r="Y34" i="4"/>
  <c r="AN34" i="4"/>
  <c r="AB34" i="4"/>
  <c r="Z34" i="4"/>
  <c r="AO34" i="4"/>
  <c r="X34" i="4"/>
  <c r="AM34" i="4"/>
  <c r="AL34" i="4"/>
  <c r="AK34" i="4"/>
  <c r="AJ34" i="4"/>
  <c r="AF34" i="4"/>
  <c r="AD34" i="4"/>
  <c r="AG34" i="4"/>
  <c r="AI34" i="4"/>
  <c r="AH34" i="4"/>
  <c r="AC34" i="4"/>
  <c r="AF31" i="4"/>
  <c r="AJ50" i="4"/>
  <c r="AK49" i="4"/>
  <c r="AK29" i="4"/>
  <c r="AB29" i="4"/>
  <c r="AJ29" i="4"/>
  <c r="AL29" i="4"/>
  <c r="AC29" i="4"/>
  <c r="AN29" i="4"/>
  <c r="Z29" i="4"/>
  <c r="AI29" i="4"/>
  <c r="AD29" i="4"/>
  <c r="AM29" i="4"/>
  <c r="AG29" i="4"/>
  <c r="AA29" i="4"/>
  <c r="AF29" i="4"/>
  <c r="AO29" i="4"/>
  <c r="Y29" i="4"/>
  <c r="AH29" i="4"/>
  <c r="AO28" i="4"/>
  <c r="Y28" i="4"/>
  <c r="AH28" i="4"/>
  <c r="AJ28" i="4"/>
  <c r="AK28" i="4"/>
  <c r="AL28" i="4"/>
  <c r="AB28" i="4"/>
  <c r="AC28" i="4"/>
  <c r="AN28" i="4"/>
  <c r="Z28" i="4"/>
  <c r="AI28" i="4"/>
  <c r="AD28" i="4"/>
  <c r="AM28" i="4"/>
  <c r="AG28" i="4"/>
  <c r="AA28" i="4"/>
  <c r="AF28" i="4"/>
  <c r="AG27" i="4"/>
  <c r="AA27" i="4"/>
  <c r="AF27" i="4"/>
  <c r="Y27" i="4"/>
  <c r="AH27" i="4"/>
  <c r="AB27" i="4"/>
  <c r="AJ27" i="4"/>
  <c r="AK27" i="4"/>
  <c r="AL27" i="4"/>
  <c r="AC27" i="4"/>
  <c r="AN27" i="4"/>
  <c r="Z27" i="4"/>
  <c r="AO27" i="4"/>
  <c r="AI27" i="4"/>
  <c r="AD27" i="4"/>
  <c r="AM27" i="4"/>
  <c r="BB4" i="4"/>
  <c r="BC4" i="4"/>
  <c r="BG23" i="4"/>
  <c r="BF4" i="4"/>
  <c r="BG4" i="4"/>
  <c r="BF23" i="4"/>
  <c r="BH4" i="4"/>
  <c r="AY23" i="4"/>
  <c r="BJ22" i="4"/>
  <c r="AV22" i="4"/>
  <c r="BF22" i="4"/>
  <c r="BE4" i="4"/>
  <c r="AZ4" i="4"/>
  <c r="BI4" i="4"/>
  <c r="BM7" i="4"/>
  <c r="AW7" i="4"/>
  <c r="AV7" i="4"/>
  <c r="BL7" i="4"/>
  <c r="BK7" i="4"/>
  <c r="AU7" i="4"/>
  <c r="AT7" i="4"/>
  <c r="BJ7" i="4"/>
  <c r="BI7" i="4"/>
  <c r="BH7" i="4"/>
  <c r="BG7" i="4"/>
  <c r="BF7" i="4"/>
  <c r="BE7" i="4"/>
  <c r="BD7" i="4"/>
  <c r="BC7" i="4"/>
  <c r="AX7" i="4"/>
  <c r="BB7" i="4"/>
  <c r="AZ7" i="4"/>
  <c r="AY7" i="4"/>
  <c r="BG22" i="4"/>
  <c r="BI12" i="4"/>
  <c r="BH12" i="4"/>
  <c r="BG12" i="4"/>
  <c r="BF12" i="4"/>
  <c r="BE12" i="4"/>
  <c r="BD12" i="4"/>
  <c r="AT12" i="4"/>
  <c r="BC12" i="4"/>
  <c r="BB12" i="4"/>
  <c r="BJ12" i="4"/>
  <c r="AZ12" i="4"/>
  <c r="AY12" i="4"/>
  <c r="AX12" i="4"/>
  <c r="BM12" i="4"/>
  <c r="AW12" i="4"/>
  <c r="BL12" i="4"/>
  <c r="AV12" i="4"/>
  <c r="BK12" i="4"/>
  <c r="AU12" i="4"/>
  <c r="BH23" i="4"/>
  <c r="BH22" i="4"/>
  <c r="BE21" i="4"/>
  <c r="BD21" i="4"/>
  <c r="BC21" i="4"/>
  <c r="BB21" i="4"/>
  <c r="AZ21" i="4"/>
  <c r="AY21" i="4"/>
  <c r="AX21" i="4"/>
  <c r="BM21" i="4"/>
  <c r="AW21" i="4"/>
  <c r="BL21" i="4"/>
  <c r="AV21" i="4"/>
  <c r="BK21" i="4"/>
  <c r="AU21" i="4"/>
  <c r="BJ21" i="4"/>
  <c r="AT21" i="4"/>
  <c r="BI21" i="4"/>
  <c r="BH21" i="4"/>
  <c r="BG21" i="4"/>
  <c r="BF21" i="4"/>
  <c r="BI23" i="4"/>
  <c r="BI22" i="4"/>
  <c r="BE5" i="4"/>
  <c r="AZ5" i="4"/>
  <c r="BD5" i="4"/>
  <c r="BC5" i="4"/>
  <c r="BB5" i="4"/>
  <c r="AY5" i="4"/>
  <c r="AW5" i="4"/>
  <c r="AX5" i="4"/>
  <c r="BM5" i="4"/>
  <c r="BL5" i="4"/>
  <c r="AV5" i="4"/>
  <c r="BJ5" i="4"/>
  <c r="BK5" i="4"/>
  <c r="AU5" i="4"/>
  <c r="BH5" i="4"/>
  <c r="AT5" i="4"/>
  <c r="BF5" i="4"/>
  <c r="BI5" i="4"/>
  <c r="BG5" i="4"/>
  <c r="AZ14" i="4"/>
  <c r="AY14" i="4"/>
  <c r="AX14" i="4"/>
  <c r="BM14" i="4"/>
  <c r="AW14" i="4"/>
  <c r="BL14" i="4"/>
  <c r="AV14" i="4"/>
  <c r="BK14" i="4"/>
  <c r="AU14" i="4"/>
  <c r="BJ14" i="4"/>
  <c r="AT14" i="4"/>
  <c r="BI14" i="4"/>
  <c r="BH14" i="4"/>
  <c r="BB14" i="4"/>
  <c r="BG14" i="4"/>
  <c r="BF14" i="4"/>
  <c r="BE14" i="4"/>
  <c r="BD14" i="4"/>
  <c r="BC14" i="4"/>
  <c r="BJ4" i="4"/>
  <c r="BD4" i="4"/>
  <c r="BJ23" i="4"/>
  <c r="BI8" i="4"/>
  <c r="BH8" i="4"/>
  <c r="BJ8" i="4"/>
  <c r="BG8" i="4"/>
  <c r="BF8" i="4"/>
  <c r="BE8" i="4"/>
  <c r="BD8" i="4"/>
  <c r="BC8" i="4"/>
  <c r="BB8" i="4"/>
  <c r="AT8" i="4"/>
  <c r="AZ8" i="4"/>
  <c r="AY8" i="4"/>
  <c r="AX8" i="4"/>
  <c r="BM8" i="4"/>
  <c r="AW8" i="4"/>
  <c r="BL8" i="4"/>
  <c r="AV8" i="4"/>
  <c r="BK8" i="4"/>
  <c r="AU8" i="4"/>
  <c r="AU4" i="4"/>
  <c r="AU23" i="4"/>
  <c r="AU22" i="4"/>
  <c r="BI16" i="4"/>
  <c r="BH16" i="4"/>
  <c r="BG16" i="4"/>
  <c r="BF16" i="4"/>
  <c r="BE16" i="4"/>
  <c r="BD16" i="4"/>
  <c r="BC16" i="4"/>
  <c r="BB16" i="4"/>
  <c r="AZ16" i="4"/>
  <c r="AY16" i="4"/>
  <c r="BJ16" i="4"/>
  <c r="AX16" i="4"/>
  <c r="BM16" i="4"/>
  <c r="AW16" i="4"/>
  <c r="BL16" i="4"/>
  <c r="AV16" i="4"/>
  <c r="AT16" i="4"/>
  <c r="BK16" i="4"/>
  <c r="AU16" i="4"/>
  <c r="BK4" i="4"/>
  <c r="BK23" i="4"/>
  <c r="BK22" i="4"/>
  <c r="BE17" i="4"/>
  <c r="BD17" i="4"/>
  <c r="BC17" i="4"/>
  <c r="BB17" i="4"/>
  <c r="AZ17" i="4"/>
  <c r="AY17" i="4"/>
  <c r="BF17" i="4"/>
  <c r="AX17" i="4"/>
  <c r="BM17" i="4"/>
  <c r="AW17" i="4"/>
  <c r="BL17" i="4"/>
  <c r="AV17" i="4"/>
  <c r="BK17" i="4"/>
  <c r="AU17" i="4"/>
  <c r="BJ17" i="4"/>
  <c r="AT17" i="4"/>
  <c r="BI17" i="4"/>
  <c r="BH17" i="4"/>
  <c r="BG17" i="4"/>
  <c r="AX23" i="4"/>
  <c r="AV23" i="4"/>
  <c r="AZ18" i="4"/>
  <c r="AY18" i="4"/>
  <c r="AX18" i="4"/>
  <c r="BM18" i="4"/>
  <c r="AW18" i="4"/>
  <c r="BL18" i="4"/>
  <c r="AV18" i="4"/>
  <c r="BK18" i="4"/>
  <c r="AU18" i="4"/>
  <c r="BJ18" i="4"/>
  <c r="AT18" i="4"/>
  <c r="BI18" i="4"/>
  <c r="BH18" i="4"/>
  <c r="BG18" i="4"/>
  <c r="BF18" i="4"/>
  <c r="BE18" i="4"/>
  <c r="BB18" i="4"/>
  <c r="BD18" i="4"/>
  <c r="BC18" i="4"/>
  <c r="AX4" i="4"/>
  <c r="BE9" i="4"/>
  <c r="BD9" i="4"/>
  <c r="BC9" i="4"/>
  <c r="BB9" i="4"/>
  <c r="BF9" i="4"/>
  <c r="AZ9" i="4"/>
  <c r="AY9" i="4"/>
  <c r="AX9" i="4"/>
  <c r="BM9" i="4"/>
  <c r="AW9" i="4"/>
  <c r="BL9" i="4"/>
  <c r="AV9" i="4"/>
  <c r="BK9" i="4"/>
  <c r="AU9" i="4"/>
  <c r="BJ9" i="4"/>
  <c r="AT9" i="4"/>
  <c r="BI9" i="4"/>
  <c r="BH9" i="4"/>
  <c r="BG9" i="4"/>
  <c r="AY4" i="4"/>
  <c r="AZ23" i="4"/>
  <c r="AW23" i="4"/>
  <c r="AW22" i="4"/>
  <c r="BI20" i="4"/>
  <c r="BH20" i="4"/>
  <c r="BG20" i="4"/>
  <c r="BF20" i="4"/>
  <c r="BE20" i="4"/>
  <c r="BD20" i="4"/>
  <c r="BC20" i="4"/>
  <c r="BB20" i="4"/>
  <c r="AZ20" i="4"/>
  <c r="AY20" i="4"/>
  <c r="AX20" i="4"/>
  <c r="BM20" i="4"/>
  <c r="AW20" i="4"/>
  <c r="BL20" i="4"/>
  <c r="AV20" i="4"/>
  <c r="BK20" i="4"/>
  <c r="AU20" i="4"/>
  <c r="BJ20" i="4"/>
  <c r="AT20" i="4"/>
  <c r="BE13" i="4"/>
  <c r="BD13" i="4"/>
  <c r="BC13" i="4"/>
  <c r="BB13" i="4"/>
  <c r="AZ13" i="4"/>
  <c r="AY13" i="4"/>
  <c r="AX13" i="4"/>
  <c r="BM13" i="4"/>
  <c r="AW13" i="4"/>
  <c r="BL13" i="4"/>
  <c r="AV13" i="4"/>
  <c r="BK13" i="4"/>
  <c r="AU13" i="4"/>
  <c r="BJ13" i="4"/>
  <c r="AT13" i="4"/>
  <c r="BI13" i="4"/>
  <c r="BH13" i="4"/>
  <c r="BG13" i="4"/>
  <c r="BF13" i="4"/>
  <c r="AZ6" i="4"/>
  <c r="BB6" i="4"/>
  <c r="AY6" i="4"/>
  <c r="AV6" i="4"/>
  <c r="AX6" i="4"/>
  <c r="BM6" i="4"/>
  <c r="AW6" i="4"/>
  <c r="BL6" i="4"/>
  <c r="BK6" i="4"/>
  <c r="AU6" i="4"/>
  <c r="AT6" i="4"/>
  <c r="BJ6" i="4"/>
  <c r="BI6" i="4"/>
  <c r="BH6" i="4"/>
  <c r="BG6" i="4"/>
  <c r="BF6" i="4"/>
  <c r="BE6" i="4"/>
  <c r="BD6" i="4"/>
  <c r="BC6" i="4"/>
  <c r="AW4" i="4"/>
  <c r="BB23" i="4"/>
  <c r="BB22" i="4"/>
  <c r="AX22" i="4"/>
  <c r="BM15" i="4"/>
  <c r="AW15" i="4"/>
  <c r="BL15" i="4"/>
  <c r="AV15" i="4"/>
  <c r="BK15" i="4"/>
  <c r="AU15" i="4"/>
  <c r="BJ15" i="4"/>
  <c r="AT15" i="4"/>
  <c r="BI15" i="4"/>
  <c r="AX15" i="4"/>
  <c r="BH15" i="4"/>
  <c r="BG15" i="4"/>
  <c r="BF15" i="4"/>
  <c r="BE15" i="4"/>
  <c r="BD15" i="4"/>
  <c r="BC15" i="4"/>
  <c r="BB15" i="4"/>
  <c r="AZ15" i="4"/>
  <c r="AY15" i="4"/>
  <c r="BC23" i="4"/>
  <c r="BC22" i="4"/>
  <c r="AY22" i="4"/>
  <c r="AZ10" i="4"/>
  <c r="AY10" i="4"/>
  <c r="AX10" i="4"/>
  <c r="BB10" i="4"/>
  <c r="BM10" i="4"/>
  <c r="AW10" i="4"/>
  <c r="BL10" i="4"/>
  <c r="AV10" i="4"/>
  <c r="BK10" i="4"/>
  <c r="AU10" i="4"/>
  <c r="AT10" i="4"/>
  <c r="BJ10" i="4"/>
  <c r="BI10" i="4"/>
  <c r="BH10" i="4"/>
  <c r="BG10" i="4"/>
  <c r="BF10" i="4"/>
  <c r="BE10" i="4"/>
  <c r="BD10" i="4"/>
  <c r="BC10" i="4"/>
  <c r="AV4" i="4"/>
  <c r="BD23" i="4"/>
  <c r="BD22" i="4"/>
  <c r="AZ22" i="4"/>
  <c r="BM19" i="4"/>
  <c r="AW19" i="4"/>
  <c r="BL19" i="4"/>
  <c r="AV19" i="4"/>
  <c r="BK19" i="4"/>
  <c r="AU19" i="4"/>
  <c r="BJ19" i="4"/>
  <c r="AT19" i="4"/>
  <c r="BI19" i="4"/>
  <c r="BH19" i="4"/>
  <c r="BG19" i="4"/>
  <c r="BF19" i="4"/>
  <c r="BE19" i="4"/>
  <c r="BD19" i="4"/>
  <c r="BC19" i="4"/>
  <c r="BB19" i="4"/>
  <c r="AX19" i="4"/>
  <c r="AZ19" i="4"/>
  <c r="AY19" i="4"/>
  <c r="BE23" i="4"/>
  <c r="BE22" i="4"/>
  <c r="AE4" i="4"/>
  <c r="AE24" i="4" s="1"/>
  <c r="AO25" i="4"/>
  <c r="AB25" i="4"/>
  <c r="AJ25" i="4"/>
  <c r="AK25" i="4"/>
  <c r="AH25" i="4"/>
  <c r="AL25" i="4"/>
  <c r="Y25" i="4"/>
  <c r="AC25" i="4"/>
  <c r="AN25" i="4"/>
  <c r="Z25" i="4"/>
  <c r="AI25" i="4"/>
  <c r="AD25" i="4"/>
  <c r="AM25" i="4"/>
  <c r="AG25" i="4"/>
  <c r="AA25" i="4"/>
  <c r="AF25" i="4"/>
  <c r="AP26" i="4"/>
  <c r="AQ26" i="4"/>
  <c r="X26" i="4"/>
  <c r="Y17" i="3"/>
  <c r="Y6" i="3"/>
  <c r="Y12" i="3"/>
  <c r="Y10" i="3"/>
  <c r="M5" i="3"/>
  <c r="K5" i="3"/>
  <c r="I5" i="3"/>
  <c r="R5" i="3"/>
  <c r="F5" i="3"/>
  <c r="G5" i="3"/>
  <c r="J5" i="3"/>
  <c r="V5" i="3"/>
  <c r="Y5" i="3"/>
  <c r="H5" i="3"/>
  <c r="Q5" i="3"/>
  <c r="X5" i="3"/>
  <c r="S5" i="3"/>
  <c r="W5" i="3"/>
  <c r="O5" i="3"/>
  <c r="P5" i="3"/>
  <c r="U5" i="3"/>
  <c r="N5" i="3"/>
  <c r="T5" i="3"/>
  <c r="L5" i="3"/>
  <c r="G17" i="2"/>
  <c r="G7" i="2"/>
  <c r="G6" i="2"/>
  <c r="G8" i="2"/>
  <c r="G13" i="2"/>
  <c r="G18" i="2"/>
  <c r="E18" i="3" s="1"/>
  <c r="G12" i="2"/>
  <c r="G10" i="2"/>
  <c r="G5" i="2"/>
  <c r="D5" i="2" s="1"/>
  <c r="C5" i="2" s="1" a="1"/>
  <c r="C5" i="2" s="1"/>
  <c r="E5" i="1" s="1"/>
  <c r="V9" i="3"/>
  <c r="X9" i="3"/>
  <c r="F9" i="3"/>
  <c r="U9" i="3"/>
  <c r="T9" i="3"/>
  <c r="R9" i="3"/>
  <c r="Q9" i="3"/>
  <c r="O9" i="3"/>
  <c r="G9" i="3"/>
  <c r="N9" i="3"/>
  <c r="M9" i="3"/>
  <c r="W9" i="3"/>
  <c r="L9" i="3"/>
  <c r="S9" i="3"/>
  <c r="K9" i="3"/>
  <c r="P9" i="3"/>
  <c r="Y9" i="3"/>
  <c r="J9" i="3"/>
  <c r="I9" i="3"/>
  <c r="H9" i="3"/>
  <c r="U11" i="3"/>
  <c r="G11" i="3"/>
  <c r="S11" i="3"/>
  <c r="R11" i="3"/>
  <c r="Q11" i="3"/>
  <c r="P11" i="3"/>
  <c r="O11" i="3"/>
  <c r="N11" i="3"/>
  <c r="W11" i="3"/>
  <c r="J11" i="3"/>
  <c r="M11" i="3"/>
  <c r="V11" i="3"/>
  <c r="L11" i="3"/>
  <c r="K11" i="3"/>
  <c r="Y11" i="3"/>
  <c r="X11" i="3"/>
  <c r="I11" i="3"/>
  <c r="H11" i="3"/>
  <c r="T11" i="3"/>
  <c r="F11" i="3"/>
  <c r="Y15" i="3"/>
  <c r="X58" i="4" l="1"/>
  <c r="AE48" i="4"/>
  <c r="AE46" i="4"/>
  <c r="AE42" i="4"/>
  <c r="AE34" i="4"/>
  <c r="AE44" i="4"/>
  <c r="AE47" i="4"/>
  <c r="AE36" i="4"/>
  <c r="AE43" i="4"/>
  <c r="AE32" i="4"/>
  <c r="AE35" i="4"/>
  <c r="AE40" i="4"/>
  <c r="AE41" i="4"/>
  <c r="AE39" i="4"/>
  <c r="AE33" i="4"/>
  <c r="AQ38" i="4"/>
  <c r="AA38" i="4"/>
  <c r="Z38" i="4"/>
  <c r="X38" i="4"/>
  <c r="AP38" i="4"/>
  <c r="AN38" i="4"/>
  <c r="AO38" i="4"/>
  <c r="Y38" i="4"/>
  <c r="AM38" i="4"/>
  <c r="AL38" i="4"/>
  <c r="AC38" i="4"/>
  <c r="AK38" i="4"/>
  <c r="AJ38" i="4"/>
  <c r="AI38" i="4"/>
  <c r="AH38" i="4"/>
  <c r="AB38" i="4"/>
  <c r="AG38" i="4"/>
  <c r="AF38" i="4"/>
  <c r="AE38" i="4"/>
  <c r="AD38" i="4"/>
  <c r="AE49" i="4"/>
  <c r="AE31" i="4"/>
  <c r="AE50" i="4"/>
  <c r="AE37" i="4"/>
  <c r="AE45" i="4"/>
  <c r="AE28" i="4"/>
  <c r="AE29" i="4"/>
  <c r="BA14" i="4"/>
  <c r="AE27" i="4"/>
  <c r="BA19" i="4"/>
  <c r="AE25" i="4"/>
  <c r="BA15" i="4"/>
  <c r="BA21" i="4"/>
  <c r="BA12" i="4"/>
  <c r="BA7" i="4"/>
  <c r="BA10" i="4"/>
  <c r="BA17" i="4"/>
  <c r="BA16" i="4"/>
  <c r="BA9" i="4"/>
  <c r="BA8" i="4"/>
  <c r="BA5" i="4"/>
  <c r="BA6" i="4"/>
  <c r="BA13" i="4"/>
  <c r="BA20" i="4"/>
  <c r="BM11" i="4"/>
  <c r="AW11" i="4"/>
  <c r="BL11" i="4"/>
  <c r="AV11" i="4"/>
  <c r="BK11" i="4"/>
  <c r="AU11" i="4"/>
  <c r="BJ11" i="4"/>
  <c r="AT11" i="4"/>
  <c r="BI11" i="4"/>
  <c r="BH11" i="4"/>
  <c r="BG11" i="4"/>
  <c r="BF11" i="4"/>
  <c r="BE11" i="4"/>
  <c r="AX11" i="4"/>
  <c r="BD11" i="4"/>
  <c r="BC11" i="4"/>
  <c r="BB11" i="4"/>
  <c r="BA11" i="4"/>
  <c r="AZ11" i="4"/>
  <c r="AY11" i="4"/>
  <c r="BA22" i="4"/>
  <c r="BA4" i="4"/>
  <c r="BA23" i="4"/>
  <c r="BA18" i="4"/>
  <c r="AL26" i="4"/>
  <c r="AC26" i="4"/>
  <c r="Z26" i="4"/>
  <c r="AJ26" i="4"/>
  <c r="AF26" i="4"/>
  <c r="Y26" i="4"/>
  <c r="AO26" i="4"/>
  <c r="AN26" i="4"/>
  <c r="AI26" i="4"/>
  <c r="AB26" i="4"/>
  <c r="AA26" i="4"/>
  <c r="AK26" i="4"/>
  <c r="AH26" i="4"/>
  <c r="AG26" i="4"/>
  <c r="AM26" i="4"/>
  <c r="AD26" i="4"/>
  <c r="G19" i="2"/>
  <c r="E19" i="3" s="1"/>
  <c r="G16" i="2"/>
  <c r="E16" i="3" s="1"/>
  <c r="G20" i="2"/>
  <c r="E20" i="3" s="1"/>
  <c r="G9" i="2"/>
  <c r="D9" i="2" s="1"/>
  <c r="C9" i="2" s="1" a="1"/>
  <c r="C9" i="2" s="1"/>
  <c r="G24" i="2"/>
  <c r="E24" i="3" s="1"/>
  <c r="G11" i="2"/>
  <c r="D11" i="2" s="1"/>
  <c r="C11" i="2" s="1" a="1"/>
  <c r="C11" i="2" s="1"/>
  <c r="G15" i="2"/>
  <c r="G21" i="2"/>
  <c r="E21" i="3" s="1"/>
  <c r="G22" i="2"/>
  <c r="E22" i="3" s="1"/>
  <c r="G23" i="2"/>
  <c r="E23" i="3" s="1"/>
  <c r="G14" i="2"/>
  <c r="E14" i="3" s="1"/>
  <c r="E13" i="3"/>
  <c r="E8" i="3"/>
  <c r="E7" i="3"/>
  <c r="Y21" i="3"/>
  <c r="Y20" i="3"/>
  <c r="Y16" i="3"/>
  <c r="Y24" i="3"/>
  <c r="Y18" i="3"/>
  <c r="Y14" i="3"/>
  <c r="Y19" i="3"/>
  <c r="Y22" i="3"/>
  <c r="Y13" i="3"/>
  <c r="Y23" i="3"/>
  <c r="Y8" i="3"/>
  <c r="Y7" i="3"/>
  <c r="Q10" i="3"/>
  <c r="L10" i="3"/>
  <c r="P10" i="3"/>
  <c r="H10" i="3"/>
  <c r="N10" i="3"/>
  <c r="X10" i="3"/>
  <c r="M10" i="3"/>
  <c r="K10" i="3"/>
  <c r="J10" i="3"/>
  <c r="I10" i="3"/>
  <c r="W10" i="3"/>
  <c r="G10" i="3"/>
  <c r="F10" i="3"/>
  <c r="T10" i="3"/>
  <c r="S10" i="3"/>
  <c r="U10" i="3"/>
  <c r="R10" i="3"/>
  <c r="O10" i="3"/>
  <c r="V10" i="3"/>
  <c r="F6" i="3"/>
  <c r="S6" i="3"/>
  <c r="R6" i="3"/>
  <c r="P6" i="3"/>
  <c r="N6" i="3"/>
  <c r="X6" i="3"/>
  <c r="O6" i="3"/>
  <c r="T6" i="3"/>
  <c r="L6" i="3"/>
  <c r="Q6" i="3"/>
  <c r="M6" i="3"/>
  <c r="J6" i="3"/>
  <c r="K6" i="3"/>
  <c r="H6" i="3"/>
  <c r="I6" i="3"/>
  <c r="W6" i="3"/>
  <c r="G6" i="3"/>
  <c r="U6" i="3"/>
  <c r="V6" i="3"/>
  <c r="K18" i="3"/>
  <c r="N18" i="3"/>
  <c r="L18" i="3"/>
  <c r="J18" i="3"/>
  <c r="G18" i="3"/>
  <c r="W18" i="3"/>
  <c r="I18" i="3"/>
  <c r="M18" i="3"/>
  <c r="X18" i="3"/>
  <c r="H18" i="3"/>
  <c r="V18" i="3"/>
  <c r="F18" i="3"/>
  <c r="U18" i="3"/>
  <c r="T18" i="3"/>
  <c r="R18" i="3"/>
  <c r="Q18" i="3"/>
  <c r="P18" i="3"/>
  <c r="O18" i="3"/>
  <c r="D18" i="2"/>
  <c r="C18" i="2" s="1" a="1"/>
  <c r="C18" i="2" s="1"/>
  <c r="S18" i="3"/>
  <c r="M14" i="3"/>
  <c r="L14" i="3"/>
  <c r="K14" i="3"/>
  <c r="J14" i="3"/>
  <c r="X14" i="3"/>
  <c r="W14" i="3"/>
  <c r="H14" i="3"/>
  <c r="G14" i="3"/>
  <c r="I14" i="3"/>
  <c r="V14" i="3"/>
  <c r="F14" i="3"/>
  <c r="S14" i="3"/>
  <c r="U14" i="3"/>
  <c r="P14" i="3"/>
  <c r="R14" i="3"/>
  <c r="Q14" i="3"/>
  <c r="O14" i="3"/>
  <c r="N14" i="3"/>
  <c r="T14" i="3"/>
  <c r="I17" i="3"/>
  <c r="V17" i="3"/>
  <c r="W17" i="3"/>
  <c r="F17" i="3"/>
  <c r="G17" i="3"/>
  <c r="U17" i="3"/>
  <c r="X17" i="3"/>
  <c r="T17" i="3"/>
  <c r="R17" i="3"/>
  <c r="S17" i="3"/>
  <c r="H17" i="3"/>
  <c r="Q17" i="3"/>
  <c r="P17" i="3"/>
  <c r="O17" i="3"/>
  <c r="N17" i="3"/>
  <c r="M17" i="3"/>
  <c r="L17" i="3"/>
  <c r="K17" i="3"/>
  <c r="J17" i="3"/>
  <c r="J12" i="3"/>
  <c r="O12" i="3"/>
  <c r="X12" i="3"/>
  <c r="H12" i="3"/>
  <c r="W12" i="3"/>
  <c r="G12" i="3"/>
  <c r="U12" i="3"/>
  <c r="T12" i="3"/>
  <c r="S12" i="3"/>
  <c r="R12" i="3"/>
  <c r="Q12" i="3"/>
  <c r="P12" i="3"/>
  <c r="M12" i="3"/>
  <c r="I12" i="3"/>
  <c r="L12" i="3"/>
  <c r="F12" i="3"/>
  <c r="K12" i="3"/>
  <c r="V12" i="3"/>
  <c r="N12" i="3"/>
  <c r="U15" i="3"/>
  <c r="J15" i="3"/>
  <c r="N15" i="3"/>
  <c r="H15" i="3"/>
  <c r="I15" i="3"/>
  <c r="W15" i="3"/>
  <c r="G15" i="3"/>
  <c r="V15" i="3"/>
  <c r="F15" i="3"/>
  <c r="T15" i="3"/>
  <c r="S15" i="3"/>
  <c r="R15" i="3"/>
  <c r="Q15" i="3"/>
  <c r="P15" i="3"/>
  <c r="O15" i="3"/>
  <c r="L15" i="3"/>
  <c r="M15" i="3"/>
  <c r="K15" i="3"/>
  <c r="X15" i="3"/>
  <c r="J19" i="3"/>
  <c r="I19" i="3"/>
  <c r="X19" i="3"/>
  <c r="H19" i="3"/>
  <c r="W19" i="3"/>
  <c r="G19" i="3"/>
  <c r="V19" i="3"/>
  <c r="F19" i="3"/>
  <c r="U19" i="3"/>
  <c r="O19" i="3"/>
  <c r="S19" i="3"/>
  <c r="N19" i="3"/>
  <c r="Q19" i="3"/>
  <c r="M19" i="3"/>
  <c r="R19" i="3"/>
  <c r="K19" i="3"/>
  <c r="L19" i="3"/>
  <c r="P19" i="3"/>
  <c r="T19" i="3"/>
  <c r="F13" i="3"/>
  <c r="R13" i="3"/>
  <c r="U13" i="3"/>
  <c r="Q13" i="3"/>
  <c r="S13" i="3"/>
  <c r="P13" i="3"/>
  <c r="T13" i="3"/>
  <c r="O13" i="3"/>
  <c r="N13" i="3"/>
  <c r="M13" i="3"/>
  <c r="K13" i="3"/>
  <c r="L13" i="3"/>
  <c r="J13" i="3"/>
  <c r="I13" i="3"/>
  <c r="H13" i="3"/>
  <c r="W13" i="3"/>
  <c r="G13" i="3"/>
  <c r="V13" i="3"/>
  <c r="X13" i="3"/>
  <c r="D13" i="2"/>
  <c r="C13" i="2" s="1" a="1"/>
  <c r="C13" i="2" s="1"/>
  <c r="I23" i="3"/>
  <c r="X23" i="3"/>
  <c r="H23" i="3"/>
  <c r="T23" i="3"/>
  <c r="W23" i="3"/>
  <c r="S23" i="3"/>
  <c r="G23" i="3"/>
  <c r="R23" i="3"/>
  <c r="U23" i="3"/>
  <c r="Q23" i="3"/>
  <c r="F23" i="3"/>
  <c r="P23" i="3"/>
  <c r="V23" i="3"/>
  <c r="O23" i="3"/>
  <c r="N23" i="3"/>
  <c r="L23" i="3"/>
  <c r="K23" i="3"/>
  <c r="J23" i="3"/>
  <c r="M23" i="3"/>
  <c r="Q8" i="3"/>
  <c r="O8" i="3"/>
  <c r="P8" i="3"/>
  <c r="M8" i="3"/>
  <c r="L8" i="3"/>
  <c r="J8" i="3"/>
  <c r="I8" i="3"/>
  <c r="X8" i="3"/>
  <c r="U8" i="3"/>
  <c r="H8" i="3"/>
  <c r="R8" i="3"/>
  <c r="W8" i="3"/>
  <c r="N8" i="3"/>
  <c r="V8" i="3"/>
  <c r="F8" i="3"/>
  <c r="T8" i="3"/>
  <c r="S8" i="3"/>
  <c r="D8" i="2"/>
  <c r="C8" i="2" s="1" a="1"/>
  <c r="C8" i="2" s="1"/>
  <c r="G8" i="3"/>
  <c r="K8" i="3"/>
  <c r="Q7" i="3"/>
  <c r="O7" i="3"/>
  <c r="M7" i="3"/>
  <c r="N7" i="3"/>
  <c r="L7" i="3"/>
  <c r="K7" i="3"/>
  <c r="J7" i="3"/>
  <c r="X7" i="3"/>
  <c r="H7" i="3"/>
  <c r="W7" i="3"/>
  <c r="G7" i="3"/>
  <c r="I7" i="3"/>
  <c r="T7" i="3"/>
  <c r="F7" i="3"/>
  <c r="S7" i="3"/>
  <c r="V7" i="3"/>
  <c r="R7" i="3"/>
  <c r="P7" i="3"/>
  <c r="U7" i="3"/>
  <c r="D7" i="2"/>
  <c r="C7" i="2" s="1" a="1"/>
  <c r="C7" i="2" s="1"/>
  <c r="F22" i="3"/>
  <c r="U22" i="3"/>
  <c r="O22" i="3"/>
  <c r="T22" i="3"/>
  <c r="N22" i="3"/>
  <c r="S22" i="3"/>
  <c r="M22" i="3"/>
  <c r="R22" i="3"/>
  <c r="L22" i="3"/>
  <c r="P22" i="3"/>
  <c r="K22" i="3"/>
  <c r="Q22" i="3"/>
  <c r="J22" i="3"/>
  <c r="I22" i="3"/>
  <c r="X22" i="3"/>
  <c r="H22" i="3"/>
  <c r="W22" i="3"/>
  <c r="G22" i="3"/>
  <c r="V22" i="3"/>
  <c r="R21" i="3"/>
  <c r="Q21" i="3"/>
  <c r="P21" i="3"/>
  <c r="O21" i="3"/>
  <c r="N21" i="3"/>
  <c r="M21" i="3"/>
  <c r="J21" i="3"/>
  <c r="K21" i="3"/>
  <c r="V21" i="3"/>
  <c r="I21" i="3"/>
  <c r="L21" i="3"/>
  <c r="X21" i="3"/>
  <c r="F21" i="3"/>
  <c r="H21" i="3"/>
  <c r="G21" i="3"/>
  <c r="U21" i="3"/>
  <c r="T21" i="3"/>
  <c r="S21" i="3"/>
  <c r="W21" i="3"/>
  <c r="L20" i="3"/>
  <c r="K20" i="3"/>
  <c r="J20" i="3"/>
  <c r="I20" i="3"/>
  <c r="X20" i="3"/>
  <c r="H20" i="3"/>
  <c r="U20" i="3"/>
  <c r="V20" i="3"/>
  <c r="T20" i="3"/>
  <c r="F20" i="3"/>
  <c r="S20" i="3"/>
  <c r="W20" i="3"/>
  <c r="R20" i="3"/>
  <c r="Q20" i="3"/>
  <c r="P20" i="3"/>
  <c r="G20" i="3"/>
  <c r="O20" i="3"/>
  <c r="N20" i="3"/>
  <c r="M20" i="3"/>
  <c r="X16" i="3"/>
  <c r="H16" i="3"/>
  <c r="W16" i="3"/>
  <c r="G16" i="3"/>
  <c r="V16" i="3"/>
  <c r="F16" i="3"/>
  <c r="U16" i="3"/>
  <c r="T16" i="3"/>
  <c r="Q16" i="3"/>
  <c r="R16" i="3"/>
  <c r="P16" i="3"/>
  <c r="S16" i="3"/>
  <c r="O16" i="3"/>
  <c r="M16" i="3"/>
  <c r="L16" i="3"/>
  <c r="J16" i="3"/>
  <c r="K16" i="3"/>
  <c r="I16" i="3"/>
  <c r="N16" i="3"/>
  <c r="I24" i="3"/>
  <c r="L24" i="3"/>
  <c r="X24" i="3"/>
  <c r="H24" i="3"/>
  <c r="J24" i="3"/>
  <c r="W24" i="3"/>
  <c r="K24" i="3"/>
  <c r="G24" i="3"/>
  <c r="V24" i="3"/>
  <c r="F24" i="3"/>
  <c r="U24" i="3"/>
  <c r="T24" i="3"/>
  <c r="S24" i="3"/>
  <c r="R24" i="3"/>
  <c r="P24" i="3"/>
  <c r="O24" i="3"/>
  <c r="N24" i="3"/>
  <c r="M24" i="3"/>
  <c r="Q24" i="3"/>
  <c r="E5" i="3"/>
  <c r="C5" i="3" s="1"/>
  <c r="D5" i="1" s="1"/>
  <c r="X59" i="4" l="1" a="1"/>
  <c r="X59" i="4" s="1"/>
  <c r="X61" i="4" s="1"/>
  <c r="AE26" i="4"/>
  <c r="D19" i="2"/>
  <c r="C19" i="2" s="1" a="1"/>
  <c r="C19" i="2" s="1"/>
  <c r="D24" i="2"/>
  <c r="C24" i="2" s="1" a="1"/>
  <c r="C24" i="2" s="1"/>
  <c r="D16" i="2"/>
  <c r="C16" i="2" s="1" a="1"/>
  <c r="C16" i="2" s="1"/>
  <c r="D14" i="2"/>
  <c r="C14" i="2" s="1" a="1"/>
  <c r="C14" i="2" s="1"/>
  <c r="D22" i="2"/>
  <c r="C22" i="2" s="1" a="1"/>
  <c r="C22" i="2" s="1"/>
  <c r="D21" i="2"/>
  <c r="C21" i="2" s="1" a="1"/>
  <c r="C21" i="2" s="1"/>
  <c r="D20" i="2"/>
  <c r="C20" i="2" s="1" a="1"/>
  <c r="C20" i="2" s="1"/>
  <c r="D23" i="2"/>
  <c r="C23" i="2" s="1" a="1"/>
  <c r="C23" i="2" s="1"/>
  <c r="E11" i="3"/>
  <c r="C11" i="3" s="1"/>
  <c r="D11" i="1" s="1"/>
  <c r="E9" i="3"/>
  <c r="C9" i="3" s="1"/>
  <c r="D9" i="1" s="1"/>
  <c r="D15" i="2"/>
  <c r="C15" i="2" s="1" a="1"/>
  <c r="C15" i="2" s="1"/>
  <c r="E15" i="3"/>
  <c r="C15" i="3" s="1"/>
  <c r="D15" i="1" s="1"/>
  <c r="D12" i="2"/>
  <c r="C12" i="2" s="1" a="1"/>
  <c r="C12" i="2" s="1"/>
  <c r="E12" i="3"/>
  <c r="C12" i="3" s="1"/>
  <c r="D12" i="1" s="1"/>
  <c r="D17" i="2"/>
  <c r="C17" i="2" s="1" a="1"/>
  <c r="C17" i="2" s="1"/>
  <c r="E17" i="3"/>
  <c r="C17" i="3" s="1"/>
  <c r="D17" i="1" s="1"/>
  <c r="D6" i="2"/>
  <c r="C6" i="2" s="1" a="1"/>
  <c r="C6" i="2" s="1"/>
  <c r="E6" i="3"/>
  <c r="C6" i="3" s="1"/>
  <c r="D6" i="1" s="1"/>
  <c r="D10" i="2"/>
  <c r="C10" i="2" s="1" a="1"/>
  <c r="C10" i="2" s="1"/>
  <c r="E10" i="3"/>
  <c r="C10" i="3" s="1"/>
  <c r="D10" i="1" s="1"/>
  <c r="C14" i="3"/>
  <c r="D14" i="1" s="1"/>
  <c r="C19" i="3"/>
  <c r="D19" i="1" s="1"/>
  <c r="C22" i="3"/>
  <c r="D22" i="1" s="1"/>
  <c r="C8" i="3"/>
  <c r="D8" i="1" s="1"/>
  <c r="C18" i="3"/>
  <c r="D18" i="1" s="1"/>
  <c r="C20" i="3"/>
  <c r="D20" i="1" s="1"/>
  <c r="C24" i="3"/>
  <c r="D24" i="1" s="1"/>
  <c r="C23" i="3"/>
  <c r="D23" i="1" s="1"/>
  <c r="C21" i="3"/>
  <c r="D21" i="1" s="1"/>
  <c r="C7" i="3"/>
  <c r="D7" i="1" s="1"/>
  <c r="C13" i="3"/>
  <c r="D13" i="1" s="1"/>
  <c r="C16" i="3"/>
  <c r="D16" i="1" s="1"/>
  <c r="E6" i="1" l="1"/>
  <c r="L14" i="1" a="1"/>
  <c r="L14" i="1" s="1"/>
  <c r="E7" i="1" l="1"/>
  <c r="E8" i="1" l="1"/>
  <c r="E9" i="1" l="1"/>
  <c r="E10" i="1" l="1"/>
  <c r="E11" i="1" l="1"/>
  <c r="E12" i="1" l="1"/>
  <c r="E13" i="1" l="1"/>
  <c r="E14" i="1" l="1"/>
  <c r="E15" i="1" l="1"/>
  <c r="E16" i="1" l="1"/>
  <c r="E17" i="1" l="1"/>
  <c r="E18" i="1" l="1"/>
  <c r="E19" i="1" l="1"/>
  <c r="E20" i="1" l="1"/>
  <c r="E21" i="1" l="1"/>
  <c r="E22" i="1" l="1"/>
  <c r="E23" i="1" l="1"/>
  <c r="E24" i="1" l="1"/>
  <c r="L12" i="1" s="1" a="1"/>
  <c r="L12" i="1" s="1"/>
  <c r="L6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9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  <bk>
      <extLst>
        <ext uri="{3e2802c4-a4d2-4d8b-9148-e3be6c30e623}">
          <xlrd:rvb i="347"/>
        </ext>
      </extLst>
    </bk>
    <bk>
      <extLst>
        <ext uri="{3e2802c4-a4d2-4d8b-9148-e3be6c30e623}">
          <xlrd:rvb i="348"/>
        </ext>
      </extLst>
    </bk>
    <bk>
      <extLst>
        <ext uri="{3e2802c4-a4d2-4d8b-9148-e3be6c30e623}">
          <xlrd:rvb i="349"/>
        </ext>
      </extLst>
    </bk>
    <bk>
      <extLst>
        <ext uri="{3e2802c4-a4d2-4d8b-9148-e3be6c30e623}">
          <xlrd:rvb i="350"/>
        </ext>
      </extLst>
    </bk>
    <bk>
      <extLst>
        <ext uri="{3e2802c4-a4d2-4d8b-9148-e3be6c30e623}">
          <xlrd:rvb i="351"/>
        </ext>
      </extLst>
    </bk>
    <bk>
      <extLst>
        <ext uri="{3e2802c4-a4d2-4d8b-9148-e3be6c30e623}">
          <xlrd:rvb i="352"/>
        </ext>
      </extLst>
    </bk>
    <bk>
      <extLst>
        <ext uri="{3e2802c4-a4d2-4d8b-9148-e3be6c30e623}">
          <xlrd:rvb i="353"/>
        </ext>
      </extLst>
    </bk>
    <bk>
      <extLst>
        <ext uri="{3e2802c4-a4d2-4d8b-9148-e3be6c30e623}">
          <xlrd:rvb i="354"/>
        </ext>
      </extLst>
    </bk>
    <bk>
      <extLst>
        <ext uri="{3e2802c4-a4d2-4d8b-9148-e3be6c30e623}">
          <xlrd:rvb i="355"/>
        </ext>
      </extLst>
    </bk>
    <bk>
      <extLst>
        <ext uri="{3e2802c4-a4d2-4d8b-9148-e3be6c30e623}">
          <xlrd:rvb i="356"/>
        </ext>
      </extLst>
    </bk>
    <bk>
      <extLst>
        <ext uri="{3e2802c4-a4d2-4d8b-9148-e3be6c30e623}">
          <xlrd:rvb i="357"/>
        </ext>
      </extLst>
    </bk>
    <bk>
      <extLst>
        <ext uri="{3e2802c4-a4d2-4d8b-9148-e3be6c30e623}">
          <xlrd:rvb i="358"/>
        </ext>
      </extLst>
    </bk>
    <bk>
      <extLst>
        <ext uri="{3e2802c4-a4d2-4d8b-9148-e3be6c30e623}">
          <xlrd:rvb i="359"/>
        </ext>
      </extLst>
    </bk>
    <bk>
      <extLst>
        <ext uri="{3e2802c4-a4d2-4d8b-9148-e3be6c30e623}">
          <xlrd:rvb i="360"/>
        </ext>
      </extLst>
    </bk>
    <bk>
      <extLst>
        <ext uri="{3e2802c4-a4d2-4d8b-9148-e3be6c30e623}">
          <xlrd:rvb i="361"/>
        </ext>
      </extLst>
    </bk>
    <bk>
      <extLst>
        <ext uri="{3e2802c4-a4d2-4d8b-9148-e3be6c30e623}">
          <xlrd:rvb i="362"/>
        </ext>
      </extLst>
    </bk>
    <bk>
      <extLst>
        <ext uri="{3e2802c4-a4d2-4d8b-9148-e3be6c30e623}">
          <xlrd:rvb i="363"/>
        </ext>
      </extLst>
    </bk>
    <bk>
      <extLst>
        <ext uri="{3e2802c4-a4d2-4d8b-9148-e3be6c30e623}">
          <xlrd:rvb i="364"/>
        </ext>
      </extLst>
    </bk>
    <bk>
      <extLst>
        <ext uri="{3e2802c4-a4d2-4d8b-9148-e3be6c30e623}">
          <xlrd:rvb i="365"/>
        </ext>
      </extLst>
    </bk>
    <bk>
      <extLst>
        <ext uri="{3e2802c4-a4d2-4d8b-9148-e3be6c30e623}">
          <xlrd:rvb i="366"/>
        </ext>
      </extLst>
    </bk>
    <bk>
      <extLst>
        <ext uri="{3e2802c4-a4d2-4d8b-9148-e3be6c30e623}">
          <xlrd:rvb i="367"/>
        </ext>
      </extLst>
    </bk>
    <bk>
      <extLst>
        <ext uri="{3e2802c4-a4d2-4d8b-9148-e3be6c30e623}">
          <xlrd:rvb i="368"/>
        </ext>
      </extLst>
    </bk>
    <bk>
      <extLst>
        <ext uri="{3e2802c4-a4d2-4d8b-9148-e3be6c30e623}">
          <xlrd:rvb i="369"/>
        </ext>
      </extLst>
    </bk>
    <bk>
      <extLst>
        <ext uri="{3e2802c4-a4d2-4d8b-9148-e3be6c30e623}">
          <xlrd:rvb i="370"/>
        </ext>
      </extLst>
    </bk>
    <bk>
      <extLst>
        <ext uri="{3e2802c4-a4d2-4d8b-9148-e3be6c30e623}">
          <xlrd:rvb i="371"/>
        </ext>
      </extLst>
    </bk>
    <bk>
      <extLst>
        <ext uri="{3e2802c4-a4d2-4d8b-9148-e3be6c30e623}">
          <xlrd:rvb i="372"/>
        </ext>
      </extLst>
    </bk>
    <bk>
      <extLst>
        <ext uri="{3e2802c4-a4d2-4d8b-9148-e3be6c30e623}">
          <xlrd:rvb i="373"/>
        </ext>
      </extLst>
    </bk>
    <bk>
      <extLst>
        <ext uri="{3e2802c4-a4d2-4d8b-9148-e3be6c30e623}">
          <xlrd:rvb i="374"/>
        </ext>
      </extLst>
    </bk>
    <bk>
      <extLst>
        <ext uri="{3e2802c4-a4d2-4d8b-9148-e3be6c30e623}">
          <xlrd:rvb i="375"/>
        </ext>
      </extLst>
    </bk>
    <bk>
      <extLst>
        <ext uri="{3e2802c4-a4d2-4d8b-9148-e3be6c30e623}">
          <xlrd:rvb i="376"/>
        </ext>
      </extLst>
    </bk>
    <bk>
      <extLst>
        <ext uri="{3e2802c4-a4d2-4d8b-9148-e3be6c30e623}">
          <xlrd:rvb i="377"/>
        </ext>
      </extLst>
    </bk>
    <bk>
      <extLst>
        <ext uri="{3e2802c4-a4d2-4d8b-9148-e3be6c30e623}">
          <xlrd:rvb i="378"/>
        </ext>
      </extLst>
    </bk>
    <bk>
      <extLst>
        <ext uri="{3e2802c4-a4d2-4d8b-9148-e3be6c30e623}">
          <xlrd:rvb i="379"/>
        </ext>
      </extLst>
    </bk>
    <bk>
      <extLst>
        <ext uri="{3e2802c4-a4d2-4d8b-9148-e3be6c30e623}">
          <xlrd:rvb i="380"/>
        </ext>
      </extLst>
    </bk>
    <bk>
      <extLst>
        <ext uri="{3e2802c4-a4d2-4d8b-9148-e3be6c30e623}">
          <xlrd:rvb i="381"/>
        </ext>
      </extLst>
    </bk>
    <bk>
      <extLst>
        <ext uri="{3e2802c4-a4d2-4d8b-9148-e3be6c30e623}">
          <xlrd:rvb i="382"/>
        </ext>
      </extLst>
    </bk>
    <bk>
      <extLst>
        <ext uri="{3e2802c4-a4d2-4d8b-9148-e3be6c30e623}">
          <xlrd:rvb i="383"/>
        </ext>
      </extLst>
    </bk>
    <bk>
      <extLst>
        <ext uri="{3e2802c4-a4d2-4d8b-9148-e3be6c30e623}">
          <xlrd:rvb i="384"/>
        </ext>
      </extLst>
    </bk>
    <bk>
      <extLst>
        <ext uri="{3e2802c4-a4d2-4d8b-9148-e3be6c30e623}">
          <xlrd:rvb i="385"/>
        </ext>
      </extLst>
    </bk>
    <bk>
      <extLst>
        <ext uri="{3e2802c4-a4d2-4d8b-9148-e3be6c30e623}">
          <xlrd:rvb i="386"/>
        </ext>
      </extLst>
    </bk>
    <bk>
      <extLst>
        <ext uri="{3e2802c4-a4d2-4d8b-9148-e3be6c30e623}">
          <xlrd:rvb i="387"/>
        </ext>
      </extLst>
    </bk>
    <bk>
      <extLst>
        <ext uri="{3e2802c4-a4d2-4d8b-9148-e3be6c30e623}">
          <xlrd:rvb i="388"/>
        </ext>
      </extLst>
    </bk>
    <bk>
      <extLst>
        <ext uri="{3e2802c4-a4d2-4d8b-9148-e3be6c30e623}">
          <xlrd:rvb i="389"/>
        </ext>
      </extLst>
    </bk>
    <bk>
      <extLst>
        <ext uri="{3e2802c4-a4d2-4d8b-9148-e3be6c30e623}">
          <xlrd:rvb i="390"/>
        </ext>
      </extLst>
    </bk>
    <bk>
      <extLst>
        <ext uri="{3e2802c4-a4d2-4d8b-9148-e3be6c30e623}">
          <xlrd:rvb i="391"/>
        </ext>
      </extLst>
    </bk>
    <bk>
      <extLst>
        <ext uri="{3e2802c4-a4d2-4d8b-9148-e3be6c30e623}">
          <xlrd:rvb i="392"/>
        </ext>
      </extLst>
    </bk>
    <bk>
      <extLst>
        <ext uri="{3e2802c4-a4d2-4d8b-9148-e3be6c30e623}">
          <xlrd:rvb i="393"/>
        </ext>
      </extLst>
    </bk>
    <bk>
      <extLst>
        <ext uri="{3e2802c4-a4d2-4d8b-9148-e3be6c30e623}">
          <xlrd:rvb i="394"/>
        </ext>
      </extLst>
    </bk>
    <bk>
      <extLst>
        <ext uri="{3e2802c4-a4d2-4d8b-9148-e3be6c30e623}">
          <xlrd:rvb i="395"/>
        </ext>
      </extLst>
    </bk>
    <bk>
      <extLst>
        <ext uri="{3e2802c4-a4d2-4d8b-9148-e3be6c30e623}">
          <xlrd:rvb i="398"/>
        </ext>
      </extLst>
    </bk>
  </futureMetadata>
  <cellMetadata count="1">
    <bk>
      <rc t="1" v="0"/>
    </bk>
  </cellMetadata>
  <valueMetadata count="39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  <bk>
      <rc t="2" v="347"/>
    </bk>
    <bk>
      <rc t="2" v="348"/>
    </bk>
    <bk>
      <rc t="2" v="349"/>
    </bk>
    <bk>
      <rc t="2" v="350"/>
    </bk>
    <bk>
      <rc t="2" v="351"/>
    </bk>
    <bk>
      <rc t="2" v="352"/>
    </bk>
    <bk>
      <rc t="2" v="353"/>
    </bk>
    <bk>
      <rc t="2" v="354"/>
    </bk>
    <bk>
      <rc t="2" v="355"/>
    </bk>
    <bk>
      <rc t="2" v="356"/>
    </bk>
    <bk>
      <rc t="2" v="357"/>
    </bk>
    <bk>
      <rc t="2" v="358"/>
    </bk>
    <bk>
      <rc t="2" v="359"/>
    </bk>
    <bk>
      <rc t="2" v="360"/>
    </bk>
    <bk>
      <rc t="2" v="361"/>
    </bk>
    <bk>
      <rc t="2" v="362"/>
    </bk>
    <bk>
      <rc t="2" v="363"/>
    </bk>
    <bk>
      <rc t="2" v="364"/>
    </bk>
    <bk>
      <rc t="2" v="365"/>
    </bk>
    <bk>
      <rc t="2" v="366"/>
    </bk>
    <bk>
      <rc t="2" v="367"/>
    </bk>
    <bk>
      <rc t="2" v="368"/>
    </bk>
    <bk>
      <rc t="2" v="369"/>
    </bk>
    <bk>
      <rc t="2" v="370"/>
    </bk>
    <bk>
      <rc t="2" v="371"/>
    </bk>
    <bk>
      <rc t="2" v="372"/>
    </bk>
    <bk>
      <rc t="2" v="373"/>
    </bk>
    <bk>
      <rc t="2" v="374"/>
    </bk>
    <bk>
      <rc t="2" v="375"/>
    </bk>
    <bk>
      <rc t="2" v="376"/>
    </bk>
    <bk>
      <rc t="2" v="377"/>
    </bk>
    <bk>
      <rc t="2" v="378"/>
    </bk>
    <bk>
      <rc t="2" v="379"/>
    </bk>
    <bk>
      <rc t="2" v="380"/>
    </bk>
    <bk>
      <rc t="2" v="381"/>
    </bk>
    <bk>
      <rc t="2" v="382"/>
    </bk>
    <bk>
      <rc t="2" v="383"/>
    </bk>
    <bk>
      <rc t="2" v="384"/>
    </bk>
    <bk>
      <rc t="2" v="385"/>
    </bk>
    <bk>
      <rc t="2" v="386"/>
    </bk>
    <bk>
      <rc t="2" v="387"/>
    </bk>
    <bk>
      <rc t="2" v="388"/>
    </bk>
    <bk>
      <rc t="2" v="389"/>
    </bk>
    <bk>
      <rc t="2" v="390"/>
    </bk>
    <bk>
      <rc t="2" v="391"/>
    </bk>
    <bk>
      <rc t="2" v="392"/>
    </bk>
    <bk>
      <rc t="2" v="393"/>
    </bk>
    <bk>
      <rc t="2" v="394"/>
    </bk>
    <bk>
      <rc t="2" v="395"/>
    </bk>
    <bk>
      <rc t="2" v="396"/>
    </bk>
  </valueMetadata>
</metadata>
</file>

<file path=xl/sharedStrings.xml><?xml version="1.0" encoding="utf-8"?>
<sst xmlns="http://schemas.openxmlformats.org/spreadsheetml/2006/main" count="302" uniqueCount="82">
  <si>
    <t>European</t>
  </si>
  <si>
    <t>American</t>
  </si>
  <si>
    <t>AMD</t>
  </si>
  <si>
    <t>GOOGL</t>
  </si>
  <si>
    <t>GOOG</t>
  </si>
  <si>
    <t>AMZN</t>
  </si>
  <si>
    <t>AAPL</t>
  </si>
  <si>
    <t>AVGO</t>
  </si>
  <si>
    <t>STD</t>
  </si>
  <si>
    <t>Nvidia</t>
  </si>
  <si>
    <t>NVDA</t>
  </si>
  <si>
    <t>Apple Inc.</t>
  </si>
  <si>
    <t>Microsoft</t>
  </si>
  <si>
    <t>MSFT</t>
  </si>
  <si>
    <t>Amazon</t>
  </si>
  <si>
    <t>Alphabet Inc. (Class A)</t>
  </si>
  <si>
    <t>Alphabet Inc. (Class C)</t>
  </si>
  <si>
    <t>Meta Platforms</t>
  </si>
  <si>
    <t>META</t>
  </si>
  <si>
    <t>Broadcom Inc.</t>
  </si>
  <si>
    <t>Tesla, Inc.</t>
  </si>
  <si>
    <t>TSLA</t>
  </si>
  <si>
    <t>Palantir Technologies</t>
  </si>
  <si>
    <t>PLTR</t>
  </si>
  <si>
    <t>ASML Holding</t>
  </si>
  <si>
    <t>ASML</t>
  </si>
  <si>
    <t>Netflix</t>
  </si>
  <si>
    <t>NFLX</t>
  </si>
  <si>
    <t>Costco</t>
  </si>
  <si>
    <t>COST</t>
  </si>
  <si>
    <t>Advanced Micro Devices Inc.</t>
  </si>
  <si>
    <t>Micron Technology</t>
  </si>
  <si>
    <t>MU</t>
  </si>
  <si>
    <t>Cisco</t>
  </si>
  <si>
    <t>CSCO</t>
  </si>
  <si>
    <t>AstraZeneca</t>
  </si>
  <si>
    <t>AZN</t>
  </si>
  <si>
    <t>Applovin Corp</t>
  </si>
  <si>
    <t>APP</t>
  </si>
  <si>
    <t>T-Mobile US</t>
  </si>
  <si>
    <t>TMUS</t>
  </si>
  <si>
    <t>Shopify</t>
  </si>
  <si>
    <t>SHOP</t>
  </si>
  <si>
    <t>input cell</t>
  </si>
  <si>
    <t>Ticker</t>
  </si>
  <si>
    <t>Number</t>
  </si>
  <si>
    <t>Simga</t>
  </si>
  <si>
    <t>Price</t>
  </si>
  <si>
    <t>1 year</t>
  </si>
  <si>
    <t>Call</t>
  </si>
  <si>
    <t>Put</t>
  </si>
  <si>
    <t>Time Step Size (Δt)</t>
  </si>
  <si>
    <t>Underlying Asset or Stock Ticker</t>
  </si>
  <si>
    <t>Exercise Style</t>
  </si>
  <si>
    <t>Option Type</t>
  </si>
  <si>
    <t>Strike Price (K)</t>
  </si>
  <si>
    <t>Time to Maturity (T)</t>
  </si>
  <si>
    <t>Current Stock Price (S₀)</t>
  </si>
  <si>
    <t>Volatility (σ)</t>
  </si>
  <si>
    <t>Risk-free Rate (r)</t>
  </si>
  <si>
    <t>Stike Price</t>
  </si>
  <si>
    <t>Stock Price Tree</t>
  </si>
  <si>
    <t>Option Value Tree</t>
  </si>
  <si>
    <t>Average returns</t>
  </si>
  <si>
    <t>Standard Deviation</t>
  </si>
  <si>
    <t>Risk/Reward (Sharp Ratio)</t>
  </si>
  <si>
    <t>Corr Matix</t>
  </si>
  <si>
    <t>Daily returns on stocks</t>
  </si>
  <si>
    <t>Statistical data</t>
  </si>
  <si>
    <t>Medina returns</t>
  </si>
  <si>
    <t>Skewnees of returns</t>
  </si>
  <si>
    <t>Kurtosis of returns</t>
  </si>
  <si>
    <t>Cov Matix</t>
  </si>
  <si>
    <t>Portfolio Optimizer</t>
  </si>
  <si>
    <t>Optimal weights of stocks</t>
  </si>
  <si>
    <t>Portfolio summary</t>
  </si>
  <si>
    <t>Expected retrurns</t>
  </si>
  <si>
    <t>Standard deviation</t>
  </si>
  <si>
    <t>Total weight</t>
  </si>
  <si>
    <t>Sharp ratio</t>
  </si>
  <si>
    <t>Max weight</t>
  </si>
  <si>
    <t>Min weight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</si>
</sst>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 x14ac:knownFonts="1">
    <font>
      <sz val="11"/>
      <color theme="1"/>
      <name val="Aptos Narrow"/>
      <family val="2"/>
      <charset val="238"/>
      <scheme val="minor"/>
    </font>
    <font>
      <sz val="11"/>
      <color theme="1"/>
      <name val="Aptos Narrow"/>
      <family val="2"/>
      <charset val="238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2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5">
    <xf numFmtId="0" fontId="0" fillId="0" borderId="0" xfId="0"/>
    <xf numFmtId="0" fontId="2" fillId="0" borderId="0" xfId="0" applyFont="1"/>
    <xf numFmtId="14" fontId="0" fillId="0" borderId="0" xfId="0" applyNumberFormat="1"/>
    <xf numFmtId="164" fontId="0" fillId="0" borderId="0" xfId="1" applyNumberFormat="1" applyFont="1"/>
    <xf numFmtId="10" fontId="0" fillId="0" borderId="0" xfId="0" applyNumberFormat="1"/>
    <xf numFmtId="0" fontId="0" fillId="2" borderId="1" xfId="0" applyFill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0" fontId="0" fillId="0" borderId="0" xfId="0" applyNumberFormat="1" applyBorder="1"/>
    <xf numFmtId="10" fontId="0" fillId="0" borderId="7" xfId="0" applyNumberFormat="1" applyBorder="1"/>
    <xf numFmtId="10" fontId="0" fillId="0" borderId="0" xfId="1" applyNumberFormat="1" applyFont="1" applyBorder="1"/>
    <xf numFmtId="10" fontId="0" fillId="0" borderId="7" xfId="1" applyNumberFormat="1" applyFont="1" applyBorder="1"/>
    <xf numFmtId="0" fontId="0" fillId="0" borderId="8" xfId="0" applyNumberFormat="1" applyBorder="1"/>
    <xf numFmtId="0" fontId="0" fillId="0" borderId="9" xfId="0" applyNumberFormat="1" applyBorder="1"/>
    <xf numFmtId="0" fontId="2" fillId="0" borderId="10" xfId="0" applyFont="1" applyBorder="1"/>
    <xf numFmtId="0" fontId="2" fillId="0" borderId="11" xfId="0" applyFont="1" applyBorder="1"/>
    <xf numFmtId="0" fontId="0" fillId="0" borderId="6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 applyBorder="1"/>
    <xf numFmtId="0" fontId="2" fillId="0" borderId="14" xfId="0" applyFont="1" applyBorder="1"/>
    <xf numFmtId="0" fontId="0" fillId="0" borderId="7" xfId="0" applyNumberFormat="1" applyBorder="1"/>
    <xf numFmtId="0" fontId="2" fillId="0" borderId="15" xfId="0" applyFont="1" applyBorder="1"/>
    <xf numFmtId="0" fontId="2" fillId="4" borderId="2" xfId="0" applyFont="1" applyFill="1" applyBorder="1"/>
    <xf numFmtId="0" fontId="4" fillId="4" borderId="2" xfId="0" applyFont="1" applyFill="1" applyBorder="1"/>
    <xf numFmtId="20" fontId="2" fillId="0" borderId="4" xfId="0" applyNumberFormat="1" applyFont="1" applyBorder="1"/>
    <xf numFmtId="20" fontId="2" fillId="0" borderId="5" xfId="0" applyNumberFormat="1" applyFont="1" applyBorder="1"/>
    <xf numFmtId="10" fontId="0" fillId="0" borderId="8" xfId="1" applyNumberFormat="1" applyFont="1" applyBorder="1"/>
    <xf numFmtId="10" fontId="0" fillId="0" borderId="9" xfId="1" applyNumberFormat="1" applyFont="1" applyBorder="1"/>
    <xf numFmtId="20" fontId="2" fillId="0" borderId="3" xfId="0" applyNumberFormat="1" applyFont="1" applyFill="1" applyBorder="1"/>
    <xf numFmtId="20" fontId="2" fillId="0" borderId="5" xfId="0" applyNumberFormat="1" applyFont="1" applyFill="1" applyBorder="1"/>
    <xf numFmtId="9" fontId="2" fillId="0" borderId="8" xfId="1" applyFont="1" applyBorder="1"/>
    <xf numFmtId="9" fontId="2" fillId="0" borderId="9" xfId="1" applyFont="1" applyBorder="1"/>
    <xf numFmtId="164" fontId="2" fillId="0" borderId="7" xfId="1" applyNumberFormat="1" applyFont="1" applyBorder="1"/>
    <xf numFmtId="10" fontId="2" fillId="0" borderId="7" xfId="1" applyNumberFormat="1" applyFont="1" applyBorder="1"/>
    <xf numFmtId="9" fontId="2" fillId="0" borderId="7" xfId="1" applyFont="1" applyBorder="1"/>
    <xf numFmtId="0" fontId="2" fillId="0" borderId="9" xfId="0" applyFont="1" applyBorder="1"/>
    <xf numFmtId="9" fontId="2" fillId="0" borderId="0" xfId="1" applyFont="1" applyBorder="1"/>
    <xf numFmtId="20" fontId="2" fillId="0" borderId="4" xfId="0" applyNumberFormat="1" applyFont="1" applyFill="1" applyBorder="1"/>
    <xf numFmtId="20" fontId="2" fillId="4" borderId="2" xfId="0" applyNumberFormat="1" applyFont="1" applyFill="1" applyBorder="1"/>
    <xf numFmtId="20" fontId="2" fillId="4" borderId="6" xfId="0" applyNumberFormat="1" applyFont="1" applyFill="1" applyBorder="1" applyAlignment="1">
      <alignment horizontal="center"/>
    </xf>
    <xf numFmtId="20" fontId="2" fillId="4" borderId="13" xfId="0" applyNumberFormat="1" applyFont="1" applyFill="1" applyBorder="1" applyAlignment="1">
      <alignment horizontal="center"/>
    </xf>
    <xf numFmtId="9" fontId="2" fillId="0" borderId="12" xfId="1" applyFont="1" applyBorder="1"/>
    <xf numFmtId="9" fontId="2" fillId="0" borderId="13" xfId="1" applyFont="1" applyBorder="1"/>
    <xf numFmtId="0" fontId="0" fillId="0" borderId="14" xfId="0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17/06/relationships/rdSupportingPropertyBagStructure" Target="richData/rdsupportingpropertybagstructure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17/06/relationships/richStyles" Target="richData/rich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17/06/relationships/rdArray" Target="richData/rdarray.xml"/><Relationship Id="rId5" Type="http://schemas.openxmlformats.org/officeDocument/2006/relationships/theme" Target="theme/theme1.xml"/><Relationship Id="rId15" Type="http://schemas.microsoft.com/office/2017/06/relationships/rdRichValueTypes" Target="richData/rdRichValueTypes.xml"/><Relationship Id="rId10" Type="http://schemas.microsoft.com/office/2017/06/relationships/rdRichValueStructure" Target="richData/rdrichvaluestructure.xml"/><Relationship Id="rId4" Type="http://schemas.openxmlformats.org/officeDocument/2006/relationships/worksheet" Target="worksheets/sheet4.xml"/><Relationship Id="rId9" Type="http://schemas.microsoft.com/office/2017/06/relationships/rdRichValue" Target="richData/rdrichvalue.xml"/><Relationship Id="rId14" Type="http://schemas.microsoft.com/office/2017/06/relationships/rdSupportingPropertyBag" Target="richData/rdsupportingpropertybag.xml"/></Relationships>
</file>

<file path=xl/ctrlProps/ctrlProp1.xml><?xml version="1.0" encoding="utf-8"?>
<formControlPr xmlns="http://schemas.microsoft.com/office/spreadsheetml/2009/9/main" objectType="Spin" dx="26" fmlaLink="$H$10" inc="10" max="10000" page="10" val="120"/>
</file>

<file path=xl/ctrlProps/ctrlProp2.xml><?xml version="1.0" encoding="utf-8"?>
<formControlPr xmlns="http://schemas.microsoft.com/office/spreadsheetml/2009/9/main" objectType="Drop" dropStyle="combo" dx="26" fmlaLink="$H$3" fmlaRange="$G$4:$G$5" noThreeD="1" sel="1" val="0"/>
</file>

<file path=xl/ctrlProps/ctrlProp3.xml><?xml version="1.0" encoding="utf-8"?>
<formControlPr xmlns="http://schemas.microsoft.com/office/spreadsheetml/2009/9/main" objectType="Drop" dropStyle="combo" dx="26" fmlaLink="$C$3" fmlaRange="'list of the stocks'!$B$5:$B$24" noThreeD="1" sel="13" val="12"/>
</file>

<file path=xl/ctrlProps/ctrlProp4.xml><?xml version="1.0" encoding="utf-8"?>
<formControlPr xmlns="http://schemas.microsoft.com/office/spreadsheetml/2009/9/main" objectType="Spin" dx="26" fmlaLink="$L$8" max="5" min="1" page="10"/>
</file>

<file path=xl/ctrlProps/ctrlProp5.xml><?xml version="1.0" encoding="utf-8"?>
<formControlPr xmlns="http://schemas.microsoft.com/office/spreadsheetml/2009/9/main" objectType="Spin" dx="26" fmlaLink="$L$10" max="12" page="10" val="10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Style="combo" dx="26" fmlaLink="$H$6" fmlaRange="$G$7:$G$8" noThreeD="1" sel="2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182880</xdr:rowOff>
        </xdr:from>
        <xdr:to>
          <xdr:col>13</xdr:col>
          <xdr:colOff>0</xdr:colOff>
          <xdr:row>3</xdr:row>
          <xdr:rowOff>175260</xdr:rowOff>
        </xdr:to>
        <xdr:sp macro="" textlink="">
          <xdr:nvSpPr>
            <xdr:cNvPr id="1025" name="Drop Dow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</xdr:colOff>
          <xdr:row>5</xdr:row>
          <xdr:rowOff>15240</xdr:rowOff>
        </xdr:from>
        <xdr:to>
          <xdr:col>12</xdr:col>
          <xdr:colOff>601980</xdr:colOff>
          <xdr:row>7</xdr:row>
          <xdr:rowOff>15240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</xdr:row>
          <xdr:rowOff>190500</xdr:rowOff>
        </xdr:from>
        <xdr:to>
          <xdr:col>13</xdr:col>
          <xdr:colOff>0</xdr:colOff>
          <xdr:row>3</xdr:row>
          <xdr:rowOff>13452</xdr:rowOff>
        </xdr:to>
        <xdr:sp macro="" textlink="">
          <xdr:nvSpPr>
            <xdr:cNvPr id="1032" name="Drop Dow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693420</xdr:colOff>
          <xdr:row>7</xdr:row>
          <xdr:rowOff>15240</xdr:rowOff>
        </xdr:from>
        <xdr:to>
          <xdr:col>13</xdr:col>
          <xdr:colOff>0</xdr:colOff>
          <xdr:row>9</xdr:row>
          <xdr:rowOff>7620</xdr:rowOff>
        </xdr:to>
        <xdr:sp macro="" textlink="">
          <xdr:nvSpPr>
            <xdr:cNvPr id="1033" name="Spinner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3</xdr:row>
          <xdr:rowOff>175260</xdr:rowOff>
        </xdr:from>
        <xdr:to>
          <xdr:col>13</xdr:col>
          <xdr:colOff>0</xdr:colOff>
          <xdr:row>5</xdr:row>
          <xdr:rowOff>38101</xdr:rowOff>
        </xdr:to>
        <xdr:sp macro="" textlink="">
          <xdr:nvSpPr>
            <xdr:cNvPr id="1034" name="Drop Dow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9</xdr:row>
          <xdr:rowOff>15240</xdr:rowOff>
        </xdr:from>
        <xdr:to>
          <xdr:col>12</xdr:col>
          <xdr:colOff>601980</xdr:colOff>
          <xdr:row>11</xdr:row>
          <xdr:rowOff>0</xdr:rowOff>
        </xdr:to>
        <xdr:sp macro="" textlink="">
          <xdr:nvSpPr>
            <xdr:cNvPr id="1035" name="Spinner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685800</xdr:colOff>
          <xdr:row>18</xdr:row>
          <xdr:rowOff>0</xdr:rowOff>
        </xdr:from>
        <xdr:to>
          <xdr:col>13</xdr:col>
          <xdr:colOff>15240</xdr:colOff>
          <xdr:row>19</xdr:row>
          <xdr:rowOff>15240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Calculate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7620</xdr:colOff>
          <xdr:row>57</xdr:row>
          <xdr:rowOff>7620</xdr:rowOff>
        </xdr:from>
        <xdr:to>
          <xdr:col>29</xdr:col>
          <xdr:colOff>0</xdr:colOff>
          <xdr:row>60</xdr:row>
          <xdr:rowOff>7620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 for best Risk/Reward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7620</xdr:colOff>
          <xdr:row>57</xdr:row>
          <xdr:rowOff>7620</xdr:rowOff>
        </xdr:from>
        <xdr:to>
          <xdr:col>34</xdr:col>
          <xdr:colOff>0</xdr:colOff>
          <xdr:row>60</xdr:row>
          <xdr:rowOff>7620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64F41F36-B572-455E-166A-29DCD4356E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 for lowest Risk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7620</xdr:colOff>
          <xdr:row>57</xdr:row>
          <xdr:rowOff>7620</xdr:rowOff>
        </xdr:from>
        <xdr:to>
          <xdr:col>39</xdr:col>
          <xdr:colOff>0</xdr:colOff>
          <xdr:row>60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4CCA5C69-64D6-9FE7-454D-0E6E9B133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Optimize for highest Reward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108</xdr:row>
      <xdr:rowOff>0</xdr:rowOff>
    </xdr:from>
    <xdr:to>
      <xdr:col>5</xdr:col>
      <xdr:colOff>83820</xdr:colOff>
      <xdr:row>108</xdr:row>
      <xdr:rowOff>45720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AAB2A93-4570-7E52-4930-A85BAA98D29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049018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109</xdr:row>
      <xdr:rowOff>0</xdr:rowOff>
    </xdr:from>
    <xdr:to>
      <xdr:col>5</xdr:col>
      <xdr:colOff>83820</xdr:colOff>
      <xdr:row>109</xdr:row>
      <xdr:rowOff>45720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1F99873F-437A-77E5-1DD1-AA81BAB3DA3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067306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83820</xdr:colOff>
      <xdr:row>110</xdr:row>
      <xdr:rowOff>45720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8DD69CDA-D856-2F80-5583-2F30CEED7A0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085594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111</xdr:row>
      <xdr:rowOff>0</xdr:rowOff>
    </xdr:from>
    <xdr:to>
      <xdr:col>5</xdr:col>
      <xdr:colOff>83820</xdr:colOff>
      <xdr:row>111</xdr:row>
      <xdr:rowOff>45720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E9C704C-8923-7362-1C0A-1F29630D0A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03882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112</xdr:row>
      <xdr:rowOff>0</xdr:rowOff>
    </xdr:from>
    <xdr:to>
      <xdr:col>5</xdr:col>
      <xdr:colOff>83820</xdr:colOff>
      <xdr:row>112</xdr:row>
      <xdr:rowOff>45720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D1E6168F-8440-93AE-9D2F-20599B540D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22170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83820</xdr:colOff>
      <xdr:row>113</xdr:row>
      <xdr:rowOff>45720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978F267-191F-FA7E-EF99-30862028CC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40458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114</xdr:row>
      <xdr:rowOff>0</xdr:rowOff>
    </xdr:from>
    <xdr:to>
      <xdr:col>5</xdr:col>
      <xdr:colOff>83820</xdr:colOff>
      <xdr:row>114</xdr:row>
      <xdr:rowOff>45720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8A2CCFBB-709C-71FB-1BAA-F608DF5B2D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58746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115</xdr:row>
      <xdr:rowOff>0</xdr:rowOff>
    </xdr:from>
    <xdr:to>
      <xdr:col>5</xdr:col>
      <xdr:colOff>83820</xdr:colOff>
      <xdr:row>115</xdr:row>
      <xdr:rowOff>45720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2065D452-E971-0285-0993-12CA58925F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77034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116</xdr:row>
      <xdr:rowOff>0</xdr:rowOff>
    </xdr:from>
    <xdr:to>
      <xdr:col>5</xdr:col>
      <xdr:colOff>83820</xdr:colOff>
      <xdr:row>116</xdr:row>
      <xdr:rowOff>45720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6EE1772A-199E-3F8E-6802-7E1BBAE4CB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195322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83820</xdr:colOff>
      <xdr:row>117</xdr:row>
      <xdr:rowOff>45720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94C331C-A4BE-6C82-308D-E629033FDC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213610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118</xdr:row>
      <xdr:rowOff>0</xdr:rowOff>
    </xdr:from>
    <xdr:to>
      <xdr:col>5</xdr:col>
      <xdr:colOff>83820</xdr:colOff>
      <xdr:row>118</xdr:row>
      <xdr:rowOff>45720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ABC8E57-B7AE-6A30-E820-FC248284D50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231898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119</xdr:row>
      <xdr:rowOff>0</xdr:rowOff>
    </xdr:from>
    <xdr:to>
      <xdr:col>5</xdr:col>
      <xdr:colOff>83820</xdr:colOff>
      <xdr:row>119</xdr:row>
      <xdr:rowOff>45720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DDDFFA24-4196-5097-9C87-C0AAFEE2BD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250186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120</xdr:row>
      <xdr:rowOff>0</xdr:rowOff>
    </xdr:from>
    <xdr:to>
      <xdr:col>5</xdr:col>
      <xdr:colOff>83820</xdr:colOff>
      <xdr:row>120</xdr:row>
      <xdr:rowOff>45720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3C8E02C-84D7-32B1-DBE3-973FB51E10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268474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83820</xdr:colOff>
      <xdr:row>121</xdr:row>
      <xdr:rowOff>45720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CA03BD5-722D-4C98-A2D9-DC2DC2F235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286762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122</xdr:row>
      <xdr:rowOff>0</xdr:rowOff>
    </xdr:from>
    <xdr:to>
      <xdr:col>5</xdr:col>
      <xdr:colOff>83820</xdr:colOff>
      <xdr:row>122</xdr:row>
      <xdr:rowOff>45720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D7CB70D-1F08-93BF-095C-882615BC12A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305050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123</xdr:row>
      <xdr:rowOff>0</xdr:rowOff>
    </xdr:from>
    <xdr:to>
      <xdr:col>5</xdr:col>
      <xdr:colOff>83820</xdr:colOff>
      <xdr:row>123</xdr:row>
      <xdr:rowOff>45720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1B2E4AA-F49D-0168-8227-7898AFD8E7B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323338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83820</xdr:colOff>
      <xdr:row>124</xdr:row>
      <xdr:rowOff>45720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CF33481-3547-7AEA-55E3-AD73616097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341626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125</xdr:row>
      <xdr:rowOff>0</xdr:rowOff>
    </xdr:from>
    <xdr:to>
      <xdr:col>5</xdr:col>
      <xdr:colOff>83820</xdr:colOff>
      <xdr:row>125</xdr:row>
      <xdr:rowOff>45720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A0DF9843-B07E-A67B-6183-0F9A4314E3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359914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126</xdr:row>
      <xdr:rowOff>0</xdr:rowOff>
    </xdr:from>
    <xdr:to>
      <xdr:col>5</xdr:col>
      <xdr:colOff>83820</xdr:colOff>
      <xdr:row>126</xdr:row>
      <xdr:rowOff>45720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723EEF4E-A709-3D3A-C07F-2CCF7D4E020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378202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127</xdr:row>
      <xdr:rowOff>0</xdr:rowOff>
    </xdr:from>
    <xdr:to>
      <xdr:col>5</xdr:col>
      <xdr:colOff>83820</xdr:colOff>
      <xdr:row>127</xdr:row>
      <xdr:rowOff>45720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C5B141BB-57B8-C70A-77BA-300705E84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86200" y="23964900"/>
          <a:ext cx="83820" cy="457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  <types>
    <type name="_linkedentity">
      <keyFlags>
        <key name="%cvi">
          <flag name="ShowInCardView" value="0"/>
          <flag name="ShowInDotNotation" value="0"/>
          <flag name="ShowInAutoComplete" value="0"/>
          <flag name="ExcludeFromCalcComparison" value="1"/>
        </key>
      </keyFlags>
    </type>
    <type name="_linkedentitycore">
      <keyFlags>
        <key name="%EntityServiceId">
          <flag name="ShowInCardView" value="0"/>
          <flag name="ShowInDotNotation" value="0"/>
          <flag name="ShowInAutoComplete" value="0"/>
        </key>
        <key name="%EntitySubDomainId">
          <flag name="ShowInCardView" value="0"/>
          <flag name="ShowInDotNotation" value="0"/>
          <flag name="ShowInAutoComplete" value="0"/>
        </key>
        <key name="%EntityCulture">
          <flag name="ShowInCardView" value="0"/>
          <flag name="ShowInDotNotation" value="0"/>
          <flag name="ShowInAutoComplete" value="0"/>
        </key>
        <key name="%EntityId">
          <flag name="ShowInCardView" value="0"/>
          <flag name="ShowInDotNotation" value="0"/>
          <flag name="ShowInAutoComplete" value="0"/>
        </key>
        <key name="%IsRefreshable">
          <flag name="ShowInCardView" value="0"/>
          <flag name="ShowInAutoComplete" value="0"/>
          <flag name="ExcludeFromCalcComparison" value="1"/>
        </key>
        <key name="%ProviderInfo">
          <flag name="ShowInCardView" value="0"/>
          <flag name="ShowInDotNotation" value="0"/>
          <flag name="ShowInAutoComplete" value="0"/>
        </key>
        <key name="%DataProviderExternalLinkLogo">
          <flag name="ShowInCardView" value="0"/>
          <flag name="ShowInDotNotation" value="0"/>
          <flag name="ShowInAutoComplete" value="0"/>
        </key>
        <key name="%DataProviderExternalLink">
          <flag name="ShowInCardView" value="0"/>
          <flag name="ShowInDotNotation" value="0"/>
          <flag name="ShowInAutoComplete" value="0"/>
        </key>
        <key name="%OutdatedReason">
          <flag name="ShowInCardView" value="0"/>
          <flag name="ShowInDotNotation" value="0"/>
          <flag name="ShowInAutoComplete" value="0"/>
          <flag name="ExcludeFromCalcComparison" value="1"/>
        </key>
      </keyFlags>
    </type>
  </types>
</rvTypesInfo>
</file>

<file path=xl/richData/rdarray.xml><?xml version="1.0" encoding="utf-8"?>
<arrayData xmlns="http://schemas.microsoft.com/office/spreadsheetml/2017/richdata2" count="21">
  <a r="1" c="19">
    <v t="i">0</v>
    <v t="i">3</v>
    <v t="i">4</v>
    <v t="i">5</v>
    <v t="i">6</v>
    <v t="i">7</v>
    <v t="i">10</v>
    <v t="i">11</v>
    <v t="i">12</v>
    <v t="i">13</v>
    <v t="i">14</v>
    <v t="i">17</v>
    <v t="i">18</v>
    <v t="i">19</v>
    <v t="i">21</v>
    <v t="i">24</v>
    <v t="i">25</v>
    <v t="i">26</v>
    <v t="i">28</v>
  </a>
  <a r="1" c="19">
    <v>77.97</v>
    <v>78.86</v>
    <v>79.510000000000005</v>
    <v>80.25</v>
    <v>79.27</v>
    <v>77.8</v>
    <v>78.25</v>
    <v>77.55</v>
    <v>76</v>
    <v>76.95</v>
    <v>78.42</v>
    <v>78.11</v>
    <v>78.02</v>
    <v>78.02</v>
    <v>78.16</v>
    <v>77.790000000000006</v>
    <v>77.41</v>
    <v>77.03</v>
    <v>76.040000000000006</v>
  </a>
  <a r="1" c="19">
    <v>278.77999999999997</v>
    <v>277.89</v>
    <v>277.18</v>
    <v>278.77999999999997</v>
    <v>278.02999999999997</v>
    <v>278.27999999999997</v>
    <v>274.11</v>
    <v>274.61</v>
    <v>271.83999999999997</v>
    <v>272.19</v>
    <v>273.67</v>
    <v>270.97000000000003</v>
    <v>272.36</v>
    <v>273.81</v>
    <v>273.39999999999998</v>
    <v>273.76</v>
    <v>273.08</v>
    <v>271.86</v>
    <v>271.01</v>
  </a>
  <a r="1" c="19">
    <v>1099.47</v>
    <v>1119.69</v>
    <v>1111.44</v>
    <v>1119.32</v>
    <v>1122.8399999999999</v>
    <v>1080.8499999999999</v>
    <v>1087.82</v>
    <v>1076.05</v>
    <v>1015.43</v>
    <v>1036.31</v>
    <v>1056.02</v>
    <v>1056.98</v>
    <v>1061.8399999999999</v>
    <v>1065.52</v>
    <v>1072.75</v>
    <v>1065.9949999999999</v>
    <v>1072.1400000000001</v>
    <v>1069.8599999999999</v>
    <v>1163.78</v>
  </a>
  <a r="1" c="19">
    <v>322.08999999999997</v>
    <v>314.45</v>
    <v>317.75</v>
    <v>321</v>
    <v>313.7</v>
    <v>310.52</v>
    <v>309.32</v>
    <v>307.73</v>
    <v>298.06</v>
    <v>303.75</v>
    <v>308.61</v>
    <v>311.33</v>
    <v>315.68</v>
    <v>315.67</v>
    <v>314.95999999999998</v>
    <v>314.39</v>
    <v>314.55</v>
    <v>313.8</v>
    <v>315.32</v>
  </a>
  <a r="1" c="19">
    <v>894.68</v>
    <v>887.52</v>
    <v>888.44</v>
    <v>874.41</v>
    <v>884.48</v>
    <v>884.47</v>
    <v>860.56</v>
    <v>860.39</v>
    <v>862.65</v>
    <v>857.59</v>
    <v>855.62</v>
    <v>850</v>
    <v>854.79</v>
    <v>871.86</v>
    <v>873.35</v>
    <v>867.84</v>
    <v>865.65</v>
    <v>862.34</v>
    <v>854.5</v>
  </a>
  <a r="1" c="19">
    <v>217.97</v>
    <v>221.11</v>
    <v>221.62</v>
    <v>221.42</v>
    <v>221.43</v>
    <v>210.78</v>
    <v>207.58</v>
    <v>209.17</v>
    <v>198.11</v>
    <v>201.06</v>
    <v>213.43</v>
    <v>214.95</v>
    <v>214.9</v>
    <v>215.04</v>
    <v>214.99</v>
    <v>215.61</v>
    <v>215.34</v>
    <v>214.16</v>
    <v>223.47</v>
  </a>
  <a r="1" c="19">
    <v>90.18</v>
    <v>91.28</v>
    <v>89.82</v>
    <v>91.51</v>
    <v>90.29</v>
    <v>89.83</v>
    <v>91.56</v>
    <v>91.35</v>
    <v>89.86</v>
    <v>90.61</v>
    <v>91.36</v>
    <v>91.55</v>
    <v>92.14</v>
    <v>92.45</v>
    <v>92.9</v>
    <v>92.52</v>
    <v>92.51</v>
    <v>91.93</v>
    <v>91.57</v>
  </a>
  <a r="1" c="19">
    <v>321.27</v>
    <v>313.72000000000003</v>
    <v>317.08</v>
    <v>320.20999999999998</v>
    <v>312.43</v>
    <v>309.29000000000002</v>
    <v>308.22000000000003</v>
    <v>306.57</v>
    <v>296.72000000000003</v>
    <v>302.45999999999998</v>
    <v>307.16000000000003</v>
    <v>309.77999999999997</v>
    <v>314.35000000000002</v>
    <v>314.08999999999997</v>
    <v>313.51</v>
    <v>313.56</v>
    <v>313.85000000000002</v>
    <v>313</v>
    <v>315.14999999999998</v>
  </a>
  <a r="1" c="19">
    <v>229.53</v>
    <v>226.89</v>
    <v>227.92</v>
    <v>231.78</v>
    <v>230.28</v>
    <v>226.19</v>
    <v>222.54</v>
    <v>222.56</v>
    <v>221.27</v>
    <v>226.76</v>
    <v>227.35</v>
    <v>228.43</v>
    <v>232.14</v>
    <v>232.38</v>
    <v>232.52</v>
    <v>232.07</v>
    <v>232.53</v>
    <v>230.82</v>
    <v>226.5</v>
  </a>
  <a r="1" c="19">
    <v>483.16</v>
    <v>491.02</v>
    <v>492.02</v>
    <v>478.56</v>
    <v>483.47</v>
    <v>478.53</v>
    <v>474.82</v>
    <v>476.39</v>
    <v>476.12</v>
    <v>483.98</v>
    <v>485.92</v>
    <v>484.92</v>
    <v>486.85</v>
    <v>488.02</v>
    <v>487.71</v>
    <v>487.1</v>
    <v>487.48</v>
    <v>483.62</v>
    <v>472.94</v>
  </a>
  <a r="1" c="19">
    <v>390.24</v>
    <v>401.1</v>
    <v>406.29</v>
    <v>412.97</v>
    <v>406.37</v>
    <v>359.93</v>
    <v>339.81</v>
    <v>341.3</v>
    <v>326.02</v>
    <v>329.88</v>
    <v>340.36</v>
    <v>341.45</v>
    <v>349.32</v>
    <v>350.22</v>
    <v>352.13</v>
    <v>349.39</v>
    <v>349.85</v>
    <v>346.1</v>
    <v>347.62</v>
  </a>
  <a r="1" c="19">
    <v>181.76</v>
    <v>181.49</v>
    <v>181.84</v>
    <v>187.91</v>
    <v>187.54</v>
    <v>183.57</v>
    <v>183.25</v>
    <v>187.75</v>
    <v>177.29</v>
    <v>185.69</v>
    <v>193.38</v>
    <v>193.98</v>
    <v>194.13</v>
    <v>194.17</v>
    <v>188.71</v>
    <v>184.18</v>
    <v>180.84</v>
    <v>177.75</v>
    <v>167.86</v>
  </a>
  <a r="1" c="19">
    <v>209.63</v>
    <v>204.44</v>
    <v>201.35</v>
    <v>195.32</v>
    <v>195.33</v>
    <v>195.16</v>
    <v>196.16</v>
    <v>198</v>
    <v>199.38</v>
    <v>200.27</v>
    <v>196.73</v>
    <v>195.76</v>
    <v>197.67</v>
    <v>199.02</v>
    <v>201</v>
    <v>203.15</v>
    <v>203.8</v>
    <v>203.04</v>
    <v>199.58</v>
  </a>
  <a r="1" c="19">
    <v>691.94</v>
    <v>689.76</v>
    <v>724.62</v>
    <v>703.28</v>
    <v>716.98</v>
    <v>670.67</v>
    <v>675.16499999999996</v>
    <v>677.3</v>
    <v>657.13</v>
    <v>694.37</v>
    <v>721.37</v>
    <v>733.6</v>
    <v>728.45</v>
    <v>727.5</v>
    <v>714.23</v>
    <v>698.82</v>
    <v>693.71</v>
    <v>673.82</v>
    <v>618.32000000000005</v>
  </a>
  <a r="1" c="19">
    <v>673.42</v>
    <v>666.8</v>
    <v>656.96</v>
    <v>650.13</v>
    <v>652.71</v>
    <v>644.23</v>
    <v>647.51</v>
    <v>657.15</v>
    <v>649.5</v>
    <v>664.45</v>
    <v>658.77</v>
    <v>661.5</v>
    <v>664.94</v>
    <v>667.55</v>
    <v>663.29</v>
    <v>658.69</v>
    <v>665.95</v>
    <v>660.09</v>
    <v>650.41</v>
  </a>
  <a r="1" c="19">
    <v>161.08000000000001</v>
    <v>158.41</v>
    <v>159.88999999999999</v>
    <v>168.42</v>
    <v>164.75</v>
    <v>164.19</v>
    <v>159.85</v>
    <v>163.13999999999999</v>
    <v>161.72999999999999</v>
    <v>166.8</v>
    <v>169.57</v>
    <v>169.67</v>
    <v>169.53</v>
    <v>169.45</v>
    <v>170.83</v>
    <v>167.88</v>
    <v>163.74</v>
    <v>160.97</v>
    <v>157.19999999999999</v>
  </a>
  <a r="1" c="19">
    <v>100.24</v>
    <v>96.79</v>
    <v>96.71</v>
    <v>92.71</v>
    <v>94.09</v>
    <v>95.19</v>
    <v>93.77</v>
    <v>94.57</v>
    <v>94.79</v>
    <v>94</v>
    <v>94.39</v>
    <v>93.23</v>
    <v>93.5</v>
    <v>93.64</v>
    <v>94.47</v>
    <v>94.15</v>
    <v>93.78</v>
    <v>93.76</v>
    <v>90.99</v>
  </a>
  <a r="1" c="19">
    <v>237.22</v>
    <v>246.92</v>
    <v>252.42</v>
    <v>263.70999999999998</v>
    <v>258.45999999999998</v>
    <v>241.14</v>
    <v>237.5</v>
    <v>232.51</v>
    <v>225.52</v>
    <v>248.55</v>
    <v>265.92</v>
    <v>276.58999999999997</v>
    <v>276.27</v>
    <v>286.68</v>
    <v>284.79000000000002</v>
    <v>294.37</v>
    <v>292.63</v>
    <v>285.41000000000003</v>
    <v>315.42</v>
  </a>
  <a r="1" c="19">
    <v>182.41</v>
    <v>185.55</v>
    <v>184.97</v>
    <v>183.78</v>
    <v>180.93</v>
    <v>175.02</v>
    <v>176.29</v>
    <v>177.72</v>
    <v>170.94</v>
    <v>174.14</v>
    <v>180.99</v>
    <v>183.69</v>
    <v>189.21</v>
    <v>188.61</v>
    <v>190.53</v>
    <v>188.22</v>
    <v>187.54</v>
    <v>186.5</v>
    <v>188.85</v>
  </a>
  <a r="1" c="19">
    <v>455</v>
    <v>439.58</v>
    <v>445.17</v>
    <v>451.45</v>
    <v>446.89</v>
    <v>458.96</v>
    <v>475.31</v>
    <v>489.88</v>
    <v>467.26</v>
    <v>483.37</v>
    <v>481.2</v>
    <v>488.73</v>
    <v>485.56</v>
    <v>485.4</v>
    <v>475.19</v>
    <v>459.64</v>
    <v>454.43</v>
    <v>449.72</v>
    <v>438.07</v>
  </a>
</arrayData>
</file>

<file path=xl/richData/rdrichvalue.xml><?xml version="1.0" encoding="utf-8"?>
<rvData xmlns="http://schemas.microsoft.com/office/spreadsheetml/2017/richdata" count="419">
  <rv s="0">
    <fb>188.85</fb>
    <v>0</v>
  </rv>
  <rv s="0">
    <fb>271.01</fb>
    <v>0</v>
  </rv>
  <rv s="0">
    <fb>472.94</fb>
    <v>0</v>
  </rv>
  <rv s="0">
    <fb>226.5</fb>
    <v>0</v>
  </rv>
  <rv s="0">
    <fb>315.14999999999998</fb>
    <v>0</v>
  </rv>
  <rv s="0">
    <fb>315.32</fb>
    <v>0</v>
  </rv>
  <rv s="0">
    <fb>650.41</fb>
    <v>0</v>
  </rv>
  <rv s="0">
    <fb>347.62</fb>
    <v>0</v>
  </rv>
  <rv s="0">
    <fb>854.5</fb>
    <v>0</v>
  </rv>
  <rv s="0">
    <fb>438.07</fb>
    <v>0</v>
  </rv>
  <rv s="0">
    <fb>167.86</fb>
    <v>0</v>
  </rv>
  <rv s="0">
    <fb>1163.78</fb>
    <v>0</v>
  </rv>
  <rv s="0">
    <fb>90.99</fb>
    <v>0</v>
  </rv>
  <rv s="0">
    <fb>223.47</fb>
    <v>0</v>
  </rv>
  <rv s="0">
    <fb>315.42</fb>
    <v>0</v>
  </rv>
  <rv s="0">
    <fb>76.040000000000006</fb>
    <v>0</v>
  </rv>
  <rv s="0">
    <fb>91.57</fb>
    <v>0</v>
  </rv>
  <rv s="0">
    <fb>618.32000000000005</fb>
    <v>0</v>
  </rv>
  <rv s="0">
    <fb>199.58</fb>
    <v>0</v>
  </rv>
  <rv s="0">
    <fb>157.19999999999999</fb>
    <v>0</v>
  </rv>
  <rv s="0">
    <fb>45996</fb>
    <v>1</v>
  </rv>
  <rv s="0">
    <fb>182.41</fb>
    <v>0</v>
  </rv>
  <rv s="0">
    <fb>278.77999999999997</fb>
    <v>0</v>
  </rv>
  <rv s="0">
    <fb>483.16</fb>
    <v>0</v>
  </rv>
  <rv s="0">
    <fb>229.53</fb>
    <v>0</v>
  </rv>
  <rv s="0">
    <fb>321.27</fb>
    <v>0</v>
  </rv>
  <rv s="0">
    <fb>322.08999999999997</fb>
    <v>0</v>
  </rv>
  <rv s="0">
    <fb>673.42</fb>
    <v>0</v>
  </rv>
  <rv s="0">
    <fb>390.24</fb>
    <v>0</v>
  </rv>
  <rv s="0">
    <fb>455</fb>
    <v>0</v>
  </rv>
  <rv s="0">
    <fb>181.76</fb>
    <v>0</v>
  </rv>
  <rv s="0">
    <fb>1099.47</fb>
    <v>0</v>
  </rv>
  <rv s="0">
    <fb>100.24</fb>
    <v>0</v>
  </rv>
  <rv s="0">
    <fb>894.68</fb>
    <v>0</v>
  </rv>
  <rv s="0">
    <fb>217.97</fb>
    <v>0</v>
  </rv>
  <rv s="0">
    <fb>237.22</fb>
    <v>0</v>
  </rv>
  <rv s="0">
    <fb>77.97</fb>
    <v>0</v>
  </rv>
  <rv s="0">
    <fb>90.18</fb>
    <v>0</v>
  </rv>
  <rv s="0">
    <fb>691.94</fb>
    <v>0</v>
  </rv>
  <rv s="0">
    <fb>209.63</fb>
    <v>0</v>
  </rv>
  <rv s="0">
    <fb>161.08000000000001</fb>
    <v>0</v>
  </rv>
  <rv s="0">
    <fb>45999</fb>
    <v>1</v>
  </rv>
  <rv s="0">
    <fb>185.55</fb>
    <v>0</v>
  </rv>
  <rv s="0">
    <fb>277.89</fb>
    <v>0</v>
  </rv>
  <rv s="0">
    <fb>491.02</fb>
    <v>0</v>
  </rv>
  <rv s="0">
    <fb>226.89</fb>
    <v>0</v>
  </rv>
  <rv s="0">
    <fb>313.72000000000003</fb>
    <v>0</v>
  </rv>
  <rv s="0">
    <fb>314.45</fb>
    <v>0</v>
  </rv>
  <rv s="0">
    <fb>666.8</fb>
    <v>0</v>
  </rv>
  <rv s="0">
    <fb>401.1</fb>
    <v>0</v>
  </rv>
  <rv s="0">
    <fb>439.58</fb>
    <v>0</v>
  </rv>
  <rv s="0">
    <fb>181.49</fb>
    <v>0</v>
  </rv>
  <rv s="0">
    <fb>1119.69</fb>
    <v>0</v>
  </rv>
  <rv s="0">
    <fb>96.79</fb>
    <v>0</v>
  </rv>
  <rv s="0">
    <fb>887.52</fb>
    <v>0</v>
  </rv>
  <rv s="0">
    <fb>221.11</fb>
    <v>0</v>
  </rv>
  <rv s="0">
    <fb>246.92</fb>
    <v>0</v>
  </rv>
  <rv s="0">
    <fb>78.86</fb>
    <v>0</v>
  </rv>
  <rv s="0">
    <fb>91.28</fb>
    <v>0</v>
  </rv>
  <rv s="0">
    <fb>689.76</fb>
    <v>0</v>
  </rv>
  <rv s="0">
    <fb>204.44</fb>
    <v>0</v>
  </rv>
  <rv s="0">
    <fb>158.41</fb>
    <v>0</v>
  </rv>
  <rv s="0">
    <fb>46000</fb>
    <v>1</v>
  </rv>
  <rv s="0">
    <fb>184.97</fb>
    <v>0</v>
  </rv>
  <rv s="0">
    <fb>277.18</fb>
    <v>0</v>
  </rv>
  <rv s="0">
    <fb>492.02</fb>
    <v>0</v>
  </rv>
  <rv s="0">
    <fb>227.92</fb>
    <v>0</v>
  </rv>
  <rv s="0">
    <fb>317.08</fb>
    <v>0</v>
  </rv>
  <rv s="0">
    <fb>317.75</fb>
    <v>0</v>
  </rv>
  <rv s="0">
    <fb>656.96</fb>
    <v>0</v>
  </rv>
  <rv s="0">
    <fb>406.29</fb>
    <v>0</v>
  </rv>
  <rv s="0">
    <fb>445.17</fb>
    <v>0</v>
  </rv>
  <rv s="0">
    <fb>181.84</fb>
    <v>0</v>
  </rv>
  <rv s="0">
    <fb>1111.44</fb>
    <v>0</v>
  </rv>
  <rv s="0">
    <fb>96.71</fb>
    <v>0</v>
  </rv>
  <rv s="0">
    <fb>888.44</fb>
    <v>0</v>
  </rv>
  <rv s="0">
    <fb>221.62</fb>
    <v>0</v>
  </rv>
  <rv s="0">
    <fb>252.42</fb>
    <v>0</v>
  </rv>
  <rv s="0">
    <fb>79.510000000000005</fb>
    <v>0</v>
  </rv>
  <rv s="0">
    <fb>89.82</fb>
    <v>0</v>
  </rv>
  <rv s="0">
    <fb>724.62</fb>
    <v>0</v>
  </rv>
  <rv s="0">
    <fb>201.35</fb>
    <v>0</v>
  </rv>
  <rv s="0">
    <fb>159.88999999999999</fb>
    <v>0</v>
  </rv>
  <rv s="0">
    <fb>46001</fb>
    <v>1</v>
  </rv>
  <rv s="0">
    <fb>183.78</fb>
    <v>0</v>
  </rv>
  <rv s="0">
    <fb>478.56</fb>
    <v>0</v>
  </rv>
  <rv s="0">
    <fb>231.78</fb>
    <v>0</v>
  </rv>
  <rv s="0">
    <fb>320.20999999999998</fb>
    <v>0</v>
  </rv>
  <rv s="0">
    <fb>321</fb>
    <v>0</v>
  </rv>
  <rv s="0">
    <fb>650.13</fb>
    <v>0</v>
  </rv>
  <rv s="0">
    <fb>412.97</fb>
    <v>0</v>
  </rv>
  <rv s="0">
    <fb>451.45</fb>
    <v>0</v>
  </rv>
  <rv s="0">
    <fb>187.91</fb>
    <v>0</v>
  </rv>
  <rv s="0">
    <fb>1119.32</fb>
    <v>0</v>
  </rv>
  <rv s="0">
    <fb>92.71</fb>
    <v>0</v>
  </rv>
  <rv s="0">
    <fb>874.41</fb>
    <v>0</v>
  </rv>
  <rv s="0">
    <fb>221.42</fb>
    <v>0</v>
  </rv>
  <rv s="0">
    <fb>263.70999999999998</fb>
    <v>0</v>
  </rv>
  <rv s="0">
    <fb>80.25</fb>
    <v>0</v>
  </rv>
  <rv s="0">
    <fb>91.51</fb>
    <v>0</v>
  </rv>
  <rv s="0">
    <fb>703.28</fb>
    <v>0</v>
  </rv>
  <rv s="0">
    <fb>195.32</fb>
    <v>0</v>
  </rv>
  <rv s="0">
    <fb>168.42</fb>
    <v>0</v>
  </rv>
  <rv s="0">
    <fb>46002</fb>
    <v>1</v>
  </rv>
  <rv s="0">
    <fb>180.93</fb>
    <v>0</v>
  </rv>
  <rv s="0">
    <fb>278.02999999999997</fb>
    <v>0</v>
  </rv>
  <rv s="0">
    <fb>483.47</fb>
    <v>0</v>
  </rv>
  <rv s="0">
    <fb>230.28</fb>
    <v>0</v>
  </rv>
  <rv s="0">
    <fb>312.43</fb>
    <v>0</v>
  </rv>
  <rv s="0">
    <fb>313.7</fb>
    <v>0</v>
  </rv>
  <rv s="0">
    <fb>652.71</fb>
    <v>0</v>
  </rv>
  <rv s="0">
    <fb>406.37</fb>
    <v>0</v>
  </rv>
  <rv s="0">
    <fb>446.89</fb>
    <v>0</v>
  </rv>
  <rv s="0">
    <fb>187.54</fb>
    <v>0</v>
  </rv>
  <rv s="0">
    <fb>1122.8399999999999</fb>
    <v>0</v>
  </rv>
  <rv s="0">
    <fb>94.09</fb>
    <v>0</v>
  </rv>
  <rv s="0">
    <fb>884.48</fb>
    <v>0</v>
  </rv>
  <rv s="0">
    <fb>221.43</fb>
    <v>0</v>
  </rv>
  <rv s="0">
    <fb>258.45999999999998</fb>
    <v>0</v>
  </rv>
  <rv s="0">
    <fb>79.27</fb>
    <v>0</v>
  </rv>
  <rv s="0">
    <fb>90.29</fb>
    <v>0</v>
  </rv>
  <rv s="0">
    <fb>716.98</fb>
    <v>0</v>
  </rv>
  <rv s="0">
    <fb>195.33</fb>
    <v>0</v>
  </rv>
  <rv s="0">
    <fb>164.75</fb>
    <v>0</v>
  </rv>
  <rv s="0">
    <fb>46003</fb>
    <v>1</v>
  </rv>
  <rv s="0">
    <fb>175.02</fb>
    <v>0</v>
  </rv>
  <rv s="0">
    <fb>278.27999999999997</fb>
    <v>0</v>
  </rv>
  <rv s="0">
    <fb>478.53</fb>
    <v>0</v>
  </rv>
  <rv s="0">
    <fb>226.19</fb>
    <v>0</v>
  </rv>
  <rv s="0">
    <fb>309.29000000000002</fb>
    <v>0</v>
  </rv>
  <rv s="0">
    <fb>310.52</fb>
    <v>0</v>
  </rv>
  <rv s="0">
    <fb>644.23</fb>
    <v>0</v>
  </rv>
  <rv s="0">
    <fb>359.93</fb>
    <v>0</v>
  </rv>
  <rv s="0">
    <fb>458.96</fb>
    <v>0</v>
  </rv>
  <rv s="0">
    <fb>183.57</fb>
    <v>0</v>
  </rv>
  <rv s="0">
    <fb>1080.8499999999999</fb>
    <v>0</v>
  </rv>
  <rv s="0">
    <fb>95.19</fb>
    <v>0</v>
  </rv>
  <rv s="0">
    <fb>884.47</fb>
    <v>0</v>
  </rv>
  <rv s="0">
    <fb>210.78</fb>
    <v>0</v>
  </rv>
  <rv s="0">
    <fb>241.14</fb>
    <v>0</v>
  </rv>
  <rv s="0">
    <fb>77.8</fb>
    <v>0</v>
  </rv>
  <rv s="0">
    <fb>89.83</fb>
    <v>0</v>
  </rv>
  <rv s="0">
    <fb>670.67</fb>
    <v>0</v>
  </rv>
  <rv s="0">
    <fb>195.16</fb>
    <v>0</v>
  </rv>
  <rv s="0">
    <fb>164.19</fb>
    <v>0</v>
  </rv>
  <rv s="0">
    <fb>46006</fb>
    <v>1</v>
  </rv>
  <rv s="0">
    <fb>176.29</fb>
    <v>0</v>
  </rv>
  <rv s="0">
    <fb>274.11</fb>
    <v>0</v>
  </rv>
  <rv s="0">
    <fb>474.82</fb>
    <v>0</v>
  </rv>
  <rv s="0">
    <fb>222.54</fb>
    <v>0</v>
  </rv>
  <rv s="0">
    <fb>308.22000000000003</fb>
    <v>0</v>
  </rv>
  <rv s="0">
    <fb>309.32</fb>
    <v>0</v>
  </rv>
  <rv s="0">
    <fb>647.51</fb>
    <v>0</v>
  </rv>
  <rv s="0">
    <fb>339.81</fb>
    <v>0</v>
  </rv>
  <rv s="0">
    <fb>475.31</fb>
    <v>0</v>
  </rv>
  <rv s="0">
    <fb>183.25</fb>
    <v>0</v>
  </rv>
  <rv s="0">
    <fb>1087.82</fb>
    <v>0</v>
  </rv>
  <rv s="0">
    <fb>93.77</fb>
    <v>0</v>
  </rv>
  <rv s="0">
    <fb>860.56</fb>
    <v>0</v>
  </rv>
  <rv s="0">
    <fb>207.58</fb>
    <v>0</v>
  </rv>
  <rv s="0">
    <fb>237.5</fb>
    <v>0</v>
  </rv>
  <rv s="0">
    <fb>78.25</fb>
    <v>0</v>
  </rv>
  <rv s="0">
    <fb>91.56</fb>
    <v>0</v>
  </rv>
  <rv s="0">
    <fb>675.16499999999996</fb>
    <v>0</v>
  </rv>
  <rv s="0">
    <fb>196.16</fb>
    <v>0</v>
  </rv>
  <rv s="0">
    <fb>159.85</fb>
    <v>0</v>
  </rv>
  <rv s="0">
    <fb>46007</fb>
    <v>1</v>
  </rv>
  <rv s="0">
    <fb>177.72</fb>
    <v>0</v>
  </rv>
  <rv s="0">
    <fb>274.61</fb>
    <v>0</v>
  </rv>
  <rv s="0">
    <fb>476.39</fb>
    <v>0</v>
  </rv>
  <rv s="0">
    <fb>222.56</fb>
    <v>0</v>
  </rv>
  <rv s="0">
    <fb>306.57</fb>
    <v>0</v>
  </rv>
  <rv s="0">
    <fb>307.73</fb>
    <v>0</v>
  </rv>
  <rv s="0">
    <fb>657.15</fb>
    <v>0</v>
  </rv>
  <rv s="0">
    <fb>341.3</fb>
    <v>0</v>
  </rv>
  <rv s="0">
    <fb>489.88</fb>
    <v>0</v>
  </rv>
  <rv s="0">
    <fb>187.75</fb>
    <v>0</v>
  </rv>
  <rv s="0">
    <fb>1076.05</fb>
    <v>0</v>
  </rv>
  <rv s="0">
    <fb>94.57</fb>
    <v>0</v>
  </rv>
  <rv s="0">
    <fb>860.39</fb>
    <v>0</v>
  </rv>
  <rv s="0">
    <fb>209.17</fb>
    <v>0</v>
  </rv>
  <rv s="0">
    <fb>232.51</fb>
    <v>0</v>
  </rv>
  <rv s="0">
    <fb>77.55</fb>
    <v>0</v>
  </rv>
  <rv s="0">
    <fb>91.35</fb>
    <v>0</v>
  </rv>
  <rv s="0">
    <fb>677.3</fb>
    <v>0</v>
  </rv>
  <rv s="0">
    <fb>198</fb>
    <v>0</v>
  </rv>
  <rv s="0">
    <fb>163.13999999999999</fb>
    <v>0</v>
  </rv>
  <rv s="0">
    <fb>46008</fb>
    <v>1</v>
  </rv>
  <rv s="0">
    <fb>170.94</fb>
    <v>0</v>
  </rv>
  <rv s="0">
    <fb>271.83999999999997</fb>
    <v>0</v>
  </rv>
  <rv s="0">
    <fb>476.12</fb>
    <v>0</v>
  </rv>
  <rv s="0">
    <fb>221.27</fb>
    <v>0</v>
  </rv>
  <rv s="0">
    <fb>296.72000000000003</fb>
    <v>0</v>
  </rv>
  <rv s="0">
    <fb>298.06</fb>
    <v>0</v>
  </rv>
  <rv s="0">
    <fb>649.5</fb>
    <v>0</v>
  </rv>
  <rv s="0">
    <fb>326.02</fb>
    <v>0</v>
  </rv>
  <rv s="0">
    <fb>467.26</fb>
    <v>0</v>
  </rv>
  <rv s="0">
    <fb>177.29</fb>
    <v>0</v>
  </rv>
  <rv s="0">
    <fb>1015.43</fb>
    <v>0</v>
  </rv>
  <rv s="0">
    <fb>94.79</fb>
    <v>0</v>
  </rv>
  <rv s="0">
    <fb>862.65</fb>
    <v>0</v>
  </rv>
  <rv s="0">
    <fb>198.11</fb>
    <v>0</v>
  </rv>
  <rv s="0">
    <fb>225.52</fb>
    <v>0</v>
  </rv>
  <rv s="0">
    <fb>76</fb>
    <v>0</v>
  </rv>
  <rv s="0">
    <fb>89.86</fb>
    <v>0</v>
  </rv>
  <rv s="0">
    <fb>657.13</fb>
    <v>0</v>
  </rv>
  <rv s="0">
    <fb>199.38</fb>
    <v>0</v>
  </rv>
  <rv s="0">
    <fb>161.72999999999999</fb>
    <v>0</v>
  </rv>
  <rv s="0">
    <fb>46009</fb>
    <v>1</v>
  </rv>
  <rv s="0">
    <fb>174.14</fb>
    <v>0</v>
  </rv>
  <rv s="0">
    <fb>272.19</fb>
    <v>0</v>
  </rv>
  <rv s="0">
    <fb>483.98</fb>
    <v>0</v>
  </rv>
  <rv s="0">
    <fb>226.76</fb>
    <v>0</v>
  </rv>
  <rv s="0">
    <fb>302.45999999999998</fb>
    <v>0</v>
  </rv>
  <rv s="0">
    <fb>303.75</fb>
    <v>0</v>
  </rv>
  <rv s="0">
    <fb>664.45</fb>
    <v>0</v>
  </rv>
  <rv s="0">
    <fb>329.88</fb>
    <v>0</v>
  </rv>
  <rv s="0">
    <fb>483.37</fb>
    <v>0</v>
  </rv>
  <rv s="0">
    <fb>185.69</fb>
    <v>0</v>
  </rv>
  <rv s="0">
    <fb>1036.31</fb>
    <v>0</v>
  </rv>
  <rv s="0">
    <fb>94</fb>
    <v>0</v>
  </rv>
  <rv s="0">
    <fb>857.59</fb>
    <v>0</v>
  </rv>
  <rv s="0">
    <fb>201.06</fb>
    <v>0</v>
  </rv>
  <rv s="0">
    <fb>248.55</fb>
    <v>0</v>
  </rv>
  <rv s="0">
    <fb>76.95</fb>
    <v>0</v>
  </rv>
  <rv s="0">
    <fb>90.61</fb>
    <v>0</v>
  </rv>
  <rv s="0">
    <fb>694.37</fb>
    <v>0</v>
  </rv>
  <rv s="0">
    <fb>200.27</fb>
    <v>0</v>
  </rv>
  <rv s="0">
    <fb>166.8</fb>
    <v>0</v>
  </rv>
  <rv s="0">
    <fb>46010</fb>
    <v>1</v>
  </rv>
  <rv s="0">
    <fb>180.99</fb>
    <v>0</v>
  </rv>
  <rv s="0">
    <fb>273.67</fb>
    <v>0</v>
  </rv>
  <rv s="0">
    <fb>485.92</fb>
    <v>0</v>
  </rv>
  <rv s="0">
    <fb>227.35</fb>
    <v>0</v>
  </rv>
  <rv s="0">
    <fb>307.16000000000003</fb>
    <v>0</v>
  </rv>
  <rv s="0">
    <fb>308.61</fb>
    <v>0</v>
  </rv>
  <rv s="0">
    <fb>658.77</fb>
    <v>0</v>
  </rv>
  <rv s="0">
    <fb>340.36</fb>
    <v>0</v>
  </rv>
  <rv s="0">
    <fb>481.2</fb>
    <v>0</v>
  </rv>
  <rv s="0">
    <fb>193.38</fb>
    <v>0</v>
  </rv>
  <rv s="0">
    <fb>1056.02</fb>
    <v>0</v>
  </rv>
  <rv s="0">
    <fb>94.39</fb>
    <v>0</v>
  </rv>
  <rv s="0">
    <fb>855.62</fb>
    <v>0</v>
  </rv>
  <rv s="0">
    <fb>213.43</fb>
    <v>0</v>
  </rv>
  <rv s="0">
    <fb>265.92</fb>
    <v>0</v>
  </rv>
  <rv s="0">
    <fb>78.42</fb>
    <v>0</v>
  </rv>
  <rv s="0">
    <fb>91.36</fb>
    <v>0</v>
  </rv>
  <rv s="0">
    <fb>721.37</fb>
    <v>0</v>
  </rv>
  <rv s="0">
    <fb>196.73</fb>
    <v>0</v>
  </rv>
  <rv s="0">
    <fb>169.57</fb>
    <v>0</v>
  </rv>
  <rv s="0">
    <fb>46013</fb>
    <v>1</v>
  </rv>
  <rv s="0">
    <fb>183.69</fb>
    <v>0</v>
  </rv>
  <rv s="0">
    <fb>270.97000000000003</fb>
    <v>0</v>
  </rv>
  <rv s="0">
    <fb>484.92</fb>
    <v>0</v>
  </rv>
  <rv s="0">
    <fb>228.43</fb>
    <v>0</v>
  </rv>
  <rv s="0">
    <fb>309.77999999999997</fb>
    <v>0</v>
  </rv>
  <rv s="0">
    <fb>311.33</fb>
    <v>0</v>
  </rv>
  <rv s="0">
    <fb>661.5</fb>
    <v>0</v>
  </rv>
  <rv s="0">
    <fb>341.45</fb>
    <v>0</v>
  </rv>
  <rv s="0">
    <fb>488.73</fb>
    <v>0</v>
  </rv>
  <rv s="0">
    <fb>193.98</fb>
    <v>0</v>
  </rv>
  <rv s="0">
    <fb>1056.98</fb>
    <v>0</v>
  </rv>
  <rv s="0">
    <fb>93.23</fb>
    <v>0</v>
  </rv>
  <rv s="0">
    <fb>850</fb>
    <v>0</v>
  </rv>
  <rv s="0">
    <fb>214.95</fb>
    <v>0</v>
  </rv>
  <rv s="0">
    <fb>276.58999999999997</fb>
    <v>0</v>
  </rv>
  <rv s="0">
    <fb>78.11</fb>
    <v>0</v>
  </rv>
  <rv s="0">
    <fb>91.55</fb>
    <v>0</v>
  </rv>
  <rv s="0">
    <fb>733.6</fb>
    <v>0</v>
  </rv>
  <rv s="0">
    <fb>195.76</fb>
    <v>0</v>
  </rv>
  <rv s="0">
    <fb>169.67</fb>
    <v>0</v>
  </rv>
  <rv s="0">
    <fb>46014</fb>
    <v>1</v>
  </rv>
  <rv s="0">
    <fb>189.21</fb>
    <v>0</v>
  </rv>
  <rv s="0">
    <fb>272.36</fb>
    <v>0</v>
  </rv>
  <rv s="0">
    <fb>486.85</fb>
    <v>0</v>
  </rv>
  <rv s="0">
    <fb>232.14</fb>
    <v>0</v>
  </rv>
  <rv s="0">
    <fb>314.35000000000002</fb>
    <v>0</v>
  </rv>
  <rv s="0">
    <fb>315.68</fb>
    <v>0</v>
  </rv>
  <rv s="0">
    <fb>664.94</fb>
    <v>0</v>
  </rv>
  <rv s="0">
    <fb>349.32</fb>
    <v>0</v>
  </rv>
  <rv s="0">
    <fb>485.56</fb>
    <v>0</v>
  </rv>
  <rv s="0">
    <fb>194.13</fb>
    <v>0</v>
  </rv>
  <rv s="0">
    <fb>1061.8399999999999</fb>
    <v>0</v>
  </rv>
  <rv s="0">
    <fb>93.5</fb>
    <v>0</v>
  </rv>
  <rv s="0">
    <fb>854.79</fb>
    <v>0</v>
  </rv>
  <rv s="0">
    <fb>214.9</fb>
    <v>0</v>
  </rv>
  <rv s="0">
    <fb>276.27</fb>
    <v>0</v>
  </rv>
  <rv s="0">
    <fb>78.02</fb>
    <v>0</v>
  </rv>
  <rv s="0">
    <fb>92.14</fb>
    <v>0</v>
  </rv>
  <rv s="0">
    <fb>728.45</fb>
    <v>0</v>
  </rv>
  <rv s="0">
    <fb>197.67</fb>
    <v>0</v>
  </rv>
  <rv s="0">
    <fb>169.53</fb>
    <v>0</v>
  </rv>
  <rv s="0">
    <fb>46015</fb>
    <v>1</v>
  </rv>
  <rv s="0">
    <fb>188.61</fb>
    <v>0</v>
  </rv>
  <rv s="0">
    <fb>273.81</fb>
    <v>0</v>
  </rv>
  <rv s="0">
    <fb>488.02</fb>
    <v>0</v>
  </rv>
  <rv s="0">
    <fb>232.38</fb>
    <v>0</v>
  </rv>
  <rv s="0">
    <fb>314.08999999999997</fb>
    <v>0</v>
  </rv>
  <rv s="0">
    <fb>315.67</fb>
    <v>0</v>
  </rv>
  <rv s="0">
    <fb>667.55</fb>
    <v>0</v>
  </rv>
  <rv s="0">
    <fb>350.22</fb>
    <v>0</v>
  </rv>
  <rv s="0">
    <fb>485.4</fb>
    <v>0</v>
  </rv>
  <rv s="0">
    <fb>194.17</fb>
    <v>0</v>
  </rv>
  <rv s="0">
    <fb>1065.52</fb>
    <v>0</v>
  </rv>
  <rv s="0">
    <fb>93.64</fb>
    <v>0</v>
  </rv>
  <rv s="0">
    <fb>871.86</fb>
    <v>0</v>
  </rv>
  <rv s="0">
    <fb>215.04</fb>
    <v>0</v>
  </rv>
  <rv s="0">
    <fb>286.68</fb>
    <v>0</v>
  </rv>
  <rv s="0">
    <fb>92.45</fb>
    <v>0</v>
  </rv>
  <rv s="0">
    <fb>727.5</fb>
    <v>0</v>
  </rv>
  <rv s="0">
    <fb>199.02</fb>
    <v>0</v>
  </rv>
  <rv s="0">
    <fb>169.45</fb>
    <v>0</v>
  </rv>
  <rv s="0">
    <fb>46017</fb>
    <v>1</v>
  </rv>
  <rv s="0">
    <fb>190.53</fb>
    <v>0</v>
  </rv>
  <rv s="0">
    <fb>273.39999999999998</fb>
    <v>0</v>
  </rv>
  <rv s="0">
    <fb>487.71</fb>
    <v>0</v>
  </rv>
  <rv s="0">
    <fb>232.52</fb>
    <v>0</v>
  </rv>
  <rv s="0">
    <fb>313.51</fb>
    <v>0</v>
  </rv>
  <rv s="0">
    <fb>314.95999999999998</fb>
    <v>0</v>
  </rv>
  <rv s="0">
    <fb>663.29</fb>
    <v>0</v>
  </rv>
  <rv s="0">
    <fb>352.13</fb>
    <v>0</v>
  </rv>
  <rv s="0">
    <fb>475.19</fb>
    <v>0</v>
  </rv>
  <rv s="0">
    <fb>188.71</fb>
    <v>0</v>
  </rv>
  <rv s="0">
    <fb>1072.75</fb>
    <v>0</v>
  </rv>
  <rv s="0">
    <fb>94.47</fb>
    <v>0</v>
  </rv>
  <rv s="0">
    <fb>873.35</fb>
    <v>0</v>
  </rv>
  <rv s="0">
    <fb>214.99</fb>
    <v>0</v>
  </rv>
  <rv s="0">
    <fb>284.79000000000002</fb>
    <v>0</v>
  </rv>
  <rv s="0">
    <fb>78.16</fb>
    <v>0</v>
  </rv>
  <rv s="0">
    <fb>92.9</fb>
    <v>0</v>
  </rv>
  <rv s="0">
    <fb>714.23</fb>
    <v>0</v>
  </rv>
  <rv s="0">
    <fb>201</fb>
    <v>0</v>
  </rv>
  <rv s="0">
    <fb>170.83</fb>
    <v>0</v>
  </rv>
  <rv s="0">
    <fb>46020</fb>
    <v>1</v>
  </rv>
  <rv s="0">
    <fb>188.22</fb>
    <v>0</v>
  </rv>
  <rv s="0">
    <fb>273.76</fb>
    <v>0</v>
  </rv>
  <rv s="0">
    <fb>487.1</fb>
    <v>0</v>
  </rv>
  <rv s="0">
    <fb>232.07</fb>
    <v>0</v>
  </rv>
  <rv s="0">
    <fb>313.56</fb>
    <v>0</v>
  </rv>
  <rv s="0">
    <fb>314.39</fb>
    <v>0</v>
  </rv>
  <rv s="0">
    <fb>658.69</fb>
    <v>0</v>
  </rv>
  <rv s="0">
    <fb>349.39</fb>
    <v>0</v>
  </rv>
  <rv s="0">
    <fb>459.64</fb>
    <v>0</v>
  </rv>
  <rv s="0">
    <fb>184.18</fb>
    <v>0</v>
  </rv>
  <rv s="0">
    <fb>1065.9949999999999</fb>
    <v>0</v>
  </rv>
  <rv s="0">
    <fb>94.15</fb>
    <v>0</v>
  </rv>
  <rv s="0">
    <fb>867.84</fb>
    <v>0</v>
  </rv>
  <rv s="0">
    <fb>215.61</fb>
    <v>0</v>
  </rv>
  <rv s="0">
    <fb>294.37</fb>
    <v>0</v>
  </rv>
  <rv s="0">
    <fb>77.790000000000006</fb>
    <v>0</v>
  </rv>
  <rv s="0">
    <fb>92.52</fb>
    <v>0</v>
  </rv>
  <rv s="0">
    <fb>698.82</fb>
    <v>0</v>
  </rv>
  <rv s="0">
    <fb>203.15</fb>
    <v>0</v>
  </rv>
  <rv s="0">
    <fb>167.88</fb>
    <v>0</v>
  </rv>
  <rv s="0">
    <fb>46021</fb>
    <v>1</v>
  </rv>
  <rv s="0">
    <fb>273.08</fb>
    <v>0</v>
  </rv>
  <rv s="0">
    <fb>487.48</fb>
    <v>0</v>
  </rv>
  <rv s="0">
    <fb>232.53</fb>
    <v>0</v>
  </rv>
  <rv s="0">
    <fb>313.85000000000002</fb>
    <v>0</v>
  </rv>
  <rv s="0">
    <fb>314.55</fb>
    <v>0</v>
  </rv>
  <rv s="0">
    <fb>665.95</fb>
    <v>0</v>
  </rv>
  <rv s="0">
    <fb>349.85</fb>
    <v>0</v>
  </rv>
  <rv s="0">
    <fb>454.43</fb>
    <v>0</v>
  </rv>
  <rv s="0">
    <fb>180.84</fb>
    <v>0</v>
  </rv>
  <rv s="0">
    <fb>1072.1400000000001</fb>
    <v>0</v>
  </rv>
  <rv s="0">
    <fb>93.78</fb>
    <v>0</v>
  </rv>
  <rv s="0">
    <fb>865.65</fb>
    <v>0</v>
  </rv>
  <rv s="0">
    <fb>215.34</fb>
    <v>0</v>
  </rv>
  <rv s="0">
    <fb>292.63</fb>
    <v>0</v>
  </rv>
  <rv s="0">
    <fb>77.41</fb>
    <v>0</v>
  </rv>
  <rv s="0">
    <fb>92.51</fb>
    <v>0</v>
  </rv>
  <rv s="0">
    <fb>693.71</fb>
    <v>0</v>
  </rv>
  <rv s="0">
    <fb>203.8</fb>
    <v>0</v>
  </rv>
  <rv s="0">
    <fb>163.74</fb>
    <v>0</v>
  </rv>
  <rv s="0">
    <fb>46022</fb>
    <v>1</v>
  </rv>
  <rv s="0">
    <fb>186.5</fb>
    <v>0</v>
  </rv>
  <rv s="0">
    <fb>271.86</fb>
    <v>0</v>
  </rv>
  <rv s="0">
    <fb>483.62</fb>
    <v>0</v>
  </rv>
  <rv s="0">
    <fb>230.82</fb>
    <v>0</v>
  </rv>
  <rv s="0">
    <fb>313</fb>
    <v>0</v>
  </rv>
  <rv s="0">
    <fb>313.8</fb>
    <v>0</v>
  </rv>
  <rv s="0">
    <fb>660.09</fb>
    <v>0</v>
  </rv>
  <rv s="0">
    <fb>346.1</fb>
    <v>0</v>
  </rv>
  <rv s="0">
    <fb>449.72</fb>
    <v>0</v>
  </rv>
  <rv s="0">
    <fb>177.75</fb>
    <v>0</v>
  </rv>
  <rv s="0">
    <fb>1069.8599999999999</fb>
    <v>0</v>
  </rv>
  <rv s="0">
    <fb>93.76</fb>
    <v>0</v>
  </rv>
  <rv s="0">
    <fb>862.34</fb>
    <v>0</v>
  </rv>
  <rv s="0">
    <fb>214.16</fb>
    <v>0</v>
  </rv>
  <rv s="0">
    <fb>285.41000000000003</fb>
    <v>0</v>
  </rv>
  <rv s="0">
    <fb>77.03</fb>
    <v>0</v>
  </rv>
  <rv s="0">
    <fb>91.93</fb>
    <v>0</v>
  </rv>
  <rv s="0">
    <fb>673.82</fb>
    <v>0</v>
  </rv>
  <rv s="0">
    <fb>203.04</fb>
    <v>0</v>
  </rv>
  <rv s="0">
    <fb>160.97</fb>
    <v>0</v>
  </rv>
  <rv s="0">
    <fb>46024</fb>
    <v>1</v>
  </rv>
  <rv s="1">
    <v>https://www.bing.com/financeapi/forcetrigger?t=r6dwr5&amp;q=US1Y&amp;form=skydnc</v>
    <v>Learn more on Bing</v>
  </rv>
  <rv s="2">
    <v>en-US</v>
    <v>r6dwr5</v>
    <v>268435456</v>
    <v>1</v>
    <v>Powered by Refinitiv</v>
    <v>2</v>
    <v>US Treasury 1Y</v>
    <v>4</v>
    <v>5</v>
    <v>Finance</v>
    <v>6</v>
    <v>7.7000000000000002E-3</v>
    <v>2.2179999999999999E-3</v>
    <v>US</v>
    <v>USD</v>
    <v>Bond</v>
    <v>46027.436412037037</v>
    <v>396</v>
    <v>46380</v>
    <v>US Treasury 1Y</v>
    <v>3.472</v>
    <v>3.4796999999999998</v>
    <v>US1Y</v>
    <v>US Treasury 1Y</v>
    <v>3.6028999999999999E-2</v>
    <v>3.492E-2</v>
    <v>4.1792999999999997E-2</v>
    <v>3.4720000000000001E-2</v>
  </rv>
  <rv s="3">
    <v>397</v>
  </rv>
  <rv s="4">
    <v>7</v>
    <v>CSCO</v>
    <v>Daily</v>
    <v>45996</v>
    <v>46027</v>
    <v>0</v>
    <v>1</v>
    <v>639029088000000000,639031992685487582,0</v>
    <v>0</v>
    <v>a1qe5r</v>
    <v>XNAS:CSCO</v>
    <v>1</v>
  </rv>
  <rv s="4">
    <v>7</v>
    <v>AAPL</v>
    <v>Daily</v>
    <v>45996</v>
    <v>46027</v>
    <v>0</v>
    <v>1</v>
    <v>639029088000000000,639031992685537099,0</v>
    <v>0</v>
    <v>a1mou2</v>
    <v>XNAS:AAPL</v>
    <v>2</v>
  </rv>
  <rv s="4">
    <v>7</v>
    <v>ASML</v>
    <v>Daily</v>
    <v>45996</v>
    <v>46027</v>
    <v>0</v>
    <v>1</v>
    <v>639029088000000000,639031992690249592,0</v>
    <v>0</v>
    <v>a1ntlh</v>
    <v>XNAS:ASML</v>
    <v>3</v>
  </rv>
  <rv s="4">
    <v>7</v>
    <v>GOOG</v>
    <v>Daily</v>
    <v>45996</v>
    <v>46027</v>
    <v>0</v>
    <v>1</v>
    <v>639029088000000000,639031992685507864,0</v>
    <v>0</v>
    <v>a1u3p2</v>
    <v>XNAS:GOOG</v>
    <v>4</v>
  </rv>
  <rv s="4">
    <v>7</v>
    <v>COST</v>
    <v>Daily</v>
    <v>45996</v>
    <v>46027</v>
    <v>0</v>
    <v>1</v>
    <v>639029088000000000,639031992685345839,0</v>
    <v>0</v>
    <v>a1q6k2</v>
    <v>XNAS:COST</v>
    <v>5</v>
  </rv>
  <rv s="4">
    <v>7</v>
    <v>AMD</v>
    <v>Daily</v>
    <v>45996</v>
    <v>46027</v>
    <v>0</v>
    <v>1</v>
    <v>639029088000000000,639031992686231012,0</v>
    <v>0</v>
    <v>a1ndww</v>
    <v>XNAS:AMD</v>
    <v>6</v>
  </rv>
  <rv s="4">
    <v>7</v>
    <v>AZN</v>
    <v>Daily</v>
    <v>45996</v>
    <v>46027</v>
    <v>0</v>
    <v>1</v>
    <v>639029088000000000,639031992685678533,0</v>
    <v>0</v>
    <v>a1o3qh</v>
    <v>XNAS:AZN</v>
    <v>7</v>
  </rv>
  <rv s="4">
    <v>7</v>
    <v>GOOGL</v>
    <v>Daily</v>
    <v>45996</v>
    <v>46027</v>
    <v>0</v>
    <v>1</v>
    <v>639029088000000000,639031992686111630,0</v>
    <v>0</v>
    <v>a1u3rw</v>
    <v>XNAS:GOOGL</v>
    <v>8</v>
  </rv>
  <rv s="4">
    <v>7</v>
    <v>AMZN</v>
    <v>Daily</v>
    <v>45996</v>
    <v>46027</v>
    <v>0</v>
    <v>1</v>
    <v>639029088000000000,639031992686086770,0</v>
    <v>0</v>
    <v>a1nhlh</v>
    <v>XNAS:AMZN</v>
    <v>9</v>
  </rv>
  <rv s="4">
    <v>7</v>
    <v>MSFT</v>
    <v>Daily</v>
    <v>45996</v>
    <v>46027</v>
    <v>0</v>
    <v>1</v>
    <v>639029088000000000,639031992685658951,0</v>
    <v>0</v>
    <v>a1xzim</v>
    <v>XNAS:MSFT</v>
    <v>10</v>
  </rv>
  <rv s="4">
    <v>7</v>
    <v>AVGO</v>
    <v>Daily</v>
    <v>45996</v>
    <v>46027</v>
    <v>0</v>
    <v>1</v>
    <v>639029088000000000,639031992686158625,0</v>
    <v>0</v>
    <v>a1nz8m</v>
    <v>XNAS:AVGO</v>
    <v>11</v>
  </rv>
  <rv s="4">
    <v>7</v>
    <v>PLTR</v>
    <v>Daily</v>
    <v>45996</v>
    <v>46027</v>
    <v>0</v>
    <v>1</v>
    <v>639029088000000000,639031992689509412,0</v>
    <v>0</v>
    <v>bvsk7w</v>
    <v>XNAS:PLTR</v>
    <v>12</v>
  </rv>
  <rv s="4">
    <v>7</v>
    <v>TMUS</v>
    <v>Daily</v>
    <v>45996</v>
    <v>46027</v>
    <v>0</v>
    <v>1</v>
    <v>639029088000000000,639031992685527152,0</v>
    <v>0</v>
    <v>a24c52</v>
    <v>XNAS:TMUS</v>
    <v>13</v>
  </rv>
  <rv s="4">
    <v>7</v>
    <v>APP</v>
    <v>Daily</v>
    <v>45996</v>
    <v>46027</v>
    <v>0</v>
    <v>1</v>
    <v>639029088000000000,639031992685617886,0</v>
    <v>0</v>
    <v>c1sd3m</v>
    <v>XNAS:APP</v>
    <v>14</v>
  </rv>
  <rv s="4">
    <v>7</v>
    <v>META</v>
    <v>Daily</v>
    <v>45996</v>
    <v>46027</v>
    <v>0</v>
    <v>1</v>
    <v>639029088000000000,639031992685457460,0</v>
    <v>0</v>
    <v>a1slm7</v>
    <v>XNAS:META</v>
    <v>15</v>
  </rv>
  <rv s="4">
    <v>7</v>
    <v>SHOP</v>
    <v>Daily</v>
    <v>45996</v>
    <v>46027</v>
    <v>0</v>
    <v>1</v>
    <v>639029088000000000,639031992690987811,0</v>
    <v>0</v>
    <v>a22wz2</v>
    <v>XNAS:SHOP</v>
    <v>16</v>
  </rv>
  <rv s="4">
    <v>7</v>
    <v>NFLX</v>
    <v>Daily</v>
    <v>45996</v>
    <v>46027</v>
    <v>0</v>
    <v>1</v>
    <v>639029088000000000,639031992685435398,0</v>
    <v>0</v>
    <v>a1ygoc</v>
    <v>XNAS:NFLX</v>
    <v>17</v>
  </rv>
  <rv s="4">
    <v>7</v>
    <v>MU</v>
    <v>Daily</v>
    <v>45996</v>
    <v>46027</v>
    <v>0</v>
    <v>1</v>
    <v>639029088000000000,639031992686059064,0</v>
    <v>0</v>
    <v>a1y4oc</v>
    <v>XNAS:MU</v>
    <v>18</v>
  </rv>
  <rv s="4">
    <v>7</v>
    <v>NVDA</v>
    <v>Daily</v>
    <v>45996</v>
    <v>46027</v>
    <v>0</v>
    <v>1</v>
    <v>639029088000000000,639031992688409150,0</v>
    <v>0</v>
    <v>a1yv52</v>
    <v>XNAS:NVDA</v>
    <v>19</v>
  </rv>
  <rv s="4">
    <v>7</v>
    <v>TSLA</v>
    <v>Daily</v>
    <v>45996</v>
    <v>46027</v>
    <v>0</v>
    <v>1</v>
    <v>639029088000000000,639031992685498713,0</v>
    <v>0</v>
    <v>a24kar</v>
    <v>XNAS:TSLA</v>
    <v>20</v>
  </rv>
</rvData>
</file>

<file path=xl/richData/rdrichvaluestructure.xml><?xml version="1.0" encoding="utf-8"?>
<rvStructures xmlns="http://schemas.microsoft.com/office/spreadsheetml/2017/richdata" count="5">
  <s t="_formattednumber">
    <k n="_Format" t="spb"/>
  </s>
  <s t="_hyperlink">
    <k n="Address" t="s"/>
    <k n="Text" t="s"/>
  </s>
  <s t="_linkedentitycore">
    <k n="%EntityCulture" t="s"/>
    <k n="%EntityId" t="s"/>
    <k n="%EntityServiceId"/>
    <k n="%IsRefreshable" t="b"/>
    <k n="%ProviderInfo" t="s"/>
    <k n="_Display" t="spb"/>
    <k n="_DisplayString" t="s"/>
    <k n="_Flags" t="spb"/>
    <k n="_Format" t="spb"/>
    <k n="_Icon" t="s"/>
    <k n="_SubLabel" t="spb"/>
    <k n="Change"/>
    <k n="Change (%)"/>
    <k n="Country/region" t="s"/>
    <k n="Currency" t="s"/>
    <k n="Instrument type" t="s"/>
    <k n="Last trade time"/>
    <k n="LearnMoreOnLink" t="r"/>
    <k n="Maturity"/>
    <k n="Name" t="s"/>
    <k n="Previous close"/>
    <k n="Price"/>
    <k n="Ticker symbol" t="s"/>
    <k n="UniqueName" t="s"/>
    <k n="Yield last month"/>
    <k n="Yield last week"/>
    <k n="Yield last year"/>
    <k n="Yield yesterday"/>
  </s>
  <s t="_linkedentity">
    <k n="%cvi" t="r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Arrays count="1">
    <a count="28">
      <v t="s">%EntityServiceId</v>
      <v t="s">_Format</v>
      <v t="s">%IsRefreshable</v>
      <v t="s">%EntityCulture</v>
      <v t="s">%EntityId</v>
      <v t="s">_Icon</v>
      <v t="s">_Display</v>
      <v t="s">Name</v>
      <v t="s">Price</v>
      <v t="s">_SubLabel</v>
      <v t="s">Last trade time</v>
      <v t="s">Ticker symbol</v>
      <v t="s">Change</v>
      <v t="s">Change (%)</v>
      <v t="s">Currency</v>
      <v t="s">Previous close</v>
      <v t="s">Yield yesterday</v>
      <v t="s">Yield last week</v>
      <v t="s">Yield last month</v>
      <v t="s">Yield last year</v>
      <v t="s">Maturity</v>
      <v t="s">Country/region</v>
      <v t="s">Instrument type</v>
      <v t="s">_Flags</v>
      <v t="s">UniqueName</v>
      <v t="s">_DisplayString</v>
      <v t="s">LearnMoreOnLink</v>
      <v t="s">%ProviderInfo</v>
    </a>
  </spbArrays>
  <spbData count="8">
    <spb s="0">
      <v>1</v>
    </spb>
    <spb s="0">
      <v>2</v>
    </spb>
    <spb s="1">
      <v>0</v>
      <v>Name</v>
      <v>LearnMoreOnLink</v>
    </spb>
    <spb s="2">
      <v>0</v>
      <v>0</v>
      <v>0</v>
    </spb>
    <spb s="3">
      <v>3</v>
      <v>3</v>
      <v>3</v>
    </spb>
    <spb s="4">
      <v>3</v>
      <v>1</v>
      <v>1</v>
      <v>2</v>
      <v>4</v>
      <v>1</v>
      <v>5</v>
      <v>4</v>
      <v>4</v>
      <v>4</v>
      <v>4</v>
      <v>6</v>
    </spb>
    <spb s="5">
      <v>GMT</v>
    </spb>
    <spb s="6">
      <v>2</v>
      <v>1</v>
    </spb>
  </spbData>
</supportingPropertyBags>
</file>

<file path=xl/richData/rdsupportingpropertybagstructure.xml><?xml version="1.0" encoding="utf-8"?>
<spbStructures xmlns="http://schemas.microsoft.com/office/spreadsheetml/2017/richdata2" count="7">
  <s>
    <k n="_Self" t="i"/>
  </s>
  <s>
    <k n="^Order" t="spba"/>
    <k n="TitleProperty" t="s"/>
    <k n="SubTitleProperty" t="s"/>
  </s>
  <s>
    <k n="ShowInCardView" t="b"/>
    <k n="ShowInDotNotation" t="b"/>
    <k n="ShowInAutoComplete" t="b"/>
  </s>
  <s>
    <k n="UniqueName" t="spb"/>
    <k n="`%ProviderInfo" t="spb"/>
    <k n="LearnMoreOnLink" t="spb"/>
  </s>
  <s>
    <k n="Name" t="i"/>
    <k n="Price" t="i"/>
    <k n="Change" t="i"/>
    <k n="Maturity" t="i"/>
    <k n="Change (%)" t="i"/>
    <k n="Previous close" t="i"/>
    <k n="Last trade time" t="i"/>
    <k n="Yield last week" t="i"/>
    <k n="Yield last year" t="i"/>
    <k n="Yield yesterday" t="i"/>
    <k n="Yield last month" t="i"/>
    <k n="`%EntityServiceId" t="i"/>
  </s>
  <s>
    <k n="Last trade time" t="s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5">
    <x:dxf>
      <x:numFmt numFmtId="19" formatCode="dd/mm/yyyy"/>
    </x:dxf>
    <x:dxf>
      <x:numFmt numFmtId="0" formatCode="General"/>
    </x:dxf>
    <x:dxf>
      <x:numFmt numFmtId="14" formatCode="0.00%"/>
    </x:dxf>
    <x:dxf>
      <x:numFmt numFmtId="27" formatCode="dd/mm/yyyy\ hh:mm"/>
    </x:dxf>
    <x:dxf>
      <x:numFmt numFmtId="2" formatCode="0.00"/>
    </x:dxf>
  </dxfs>
  <richProperties>
    <rPr n="NumberFormat" t="s"/>
    <rPr n="IsTitleField" t="b"/>
  </richProperties>
  <richStyles>
    <rSty dxfid="1">
      <rpv i="0">_([$$-en-US]* #,##0.00_);_([$$-en-US]* (#,##0.00);_([$$-en-US]* "-"??_);_(@_)</rpv>
    </rSty>
    <rSty dxfid="0"/>
    <rSty>
      <rpv i="1">1</rpv>
    </rSty>
    <rSty dxfid="2"/>
    <rSty dxfid="3"/>
    <rSty dxfid="4">
      <rpv i="0">0.00</rpv>
    </rSty>
  </richStyles>
</richStyle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lickcharts.com/symbol/TSLA" TargetMode="External"/><Relationship Id="rId13" Type="http://schemas.openxmlformats.org/officeDocument/2006/relationships/hyperlink" Target="https://www.slickcharts.com/symbol/AMD" TargetMode="External"/><Relationship Id="rId18" Type="http://schemas.openxmlformats.org/officeDocument/2006/relationships/hyperlink" Target="https://www.slickcharts.com/symbol/TMUS" TargetMode="External"/><Relationship Id="rId26" Type="http://schemas.openxmlformats.org/officeDocument/2006/relationships/ctrlProp" Target="../ctrlProps/ctrlProp4.xml"/><Relationship Id="rId3" Type="http://schemas.openxmlformats.org/officeDocument/2006/relationships/hyperlink" Target="https://www.slickcharts.com/symbol/AMZN" TargetMode="External"/><Relationship Id="rId21" Type="http://schemas.openxmlformats.org/officeDocument/2006/relationships/drawing" Target="../drawings/drawing1.xml"/><Relationship Id="rId7" Type="http://schemas.openxmlformats.org/officeDocument/2006/relationships/hyperlink" Target="https://www.slickcharts.com/symbol/AVGO" TargetMode="External"/><Relationship Id="rId12" Type="http://schemas.openxmlformats.org/officeDocument/2006/relationships/hyperlink" Target="https://www.slickcharts.com/symbol/COST" TargetMode="External"/><Relationship Id="rId17" Type="http://schemas.openxmlformats.org/officeDocument/2006/relationships/hyperlink" Target="https://www.slickcharts.com/symbol/APP" TargetMode="External"/><Relationship Id="rId25" Type="http://schemas.openxmlformats.org/officeDocument/2006/relationships/ctrlProp" Target="../ctrlProps/ctrlProp3.xml"/><Relationship Id="rId2" Type="http://schemas.openxmlformats.org/officeDocument/2006/relationships/hyperlink" Target="https://www.slickcharts.com/symbol/MSFT" TargetMode="External"/><Relationship Id="rId16" Type="http://schemas.openxmlformats.org/officeDocument/2006/relationships/hyperlink" Target="https://www.slickcharts.com/symbol/AZN" TargetMode="External"/><Relationship Id="rId20" Type="http://schemas.openxmlformats.org/officeDocument/2006/relationships/hyperlink" Target="https://www.slickcharts.com/symbol/NVDA" TargetMode="External"/><Relationship Id="rId29" Type="http://schemas.openxmlformats.org/officeDocument/2006/relationships/ctrlProp" Target="../ctrlProps/ctrlProp7.xml"/><Relationship Id="rId1" Type="http://schemas.openxmlformats.org/officeDocument/2006/relationships/hyperlink" Target="https://www.slickcharts.com/symbol/AAPL" TargetMode="External"/><Relationship Id="rId6" Type="http://schemas.openxmlformats.org/officeDocument/2006/relationships/hyperlink" Target="https://www.slickcharts.com/symbol/META" TargetMode="External"/><Relationship Id="rId11" Type="http://schemas.openxmlformats.org/officeDocument/2006/relationships/hyperlink" Target="https://www.slickcharts.com/symbol/NFLX" TargetMode="External"/><Relationship Id="rId24" Type="http://schemas.openxmlformats.org/officeDocument/2006/relationships/ctrlProp" Target="../ctrlProps/ctrlProp2.xml"/><Relationship Id="rId5" Type="http://schemas.openxmlformats.org/officeDocument/2006/relationships/hyperlink" Target="https://www.slickcharts.com/symbol/GOOG" TargetMode="External"/><Relationship Id="rId15" Type="http://schemas.openxmlformats.org/officeDocument/2006/relationships/hyperlink" Target="https://www.slickcharts.com/symbol/CSCO" TargetMode="External"/><Relationship Id="rId23" Type="http://schemas.openxmlformats.org/officeDocument/2006/relationships/ctrlProp" Target="../ctrlProps/ctrlProp1.xml"/><Relationship Id="rId28" Type="http://schemas.openxmlformats.org/officeDocument/2006/relationships/ctrlProp" Target="../ctrlProps/ctrlProp6.xml"/><Relationship Id="rId10" Type="http://schemas.openxmlformats.org/officeDocument/2006/relationships/hyperlink" Target="https://www.slickcharts.com/symbol/ASML" TargetMode="External"/><Relationship Id="rId19" Type="http://schemas.openxmlformats.org/officeDocument/2006/relationships/hyperlink" Target="https://www.slickcharts.com/symbol/SHOP" TargetMode="External"/><Relationship Id="rId4" Type="http://schemas.openxmlformats.org/officeDocument/2006/relationships/hyperlink" Target="https://www.slickcharts.com/symbol/GOOGL" TargetMode="External"/><Relationship Id="rId9" Type="http://schemas.openxmlformats.org/officeDocument/2006/relationships/hyperlink" Target="https://www.slickcharts.com/symbol/PLTR" TargetMode="External"/><Relationship Id="rId14" Type="http://schemas.openxmlformats.org/officeDocument/2006/relationships/hyperlink" Target="https://www.slickcharts.com/symbol/MU" TargetMode="External"/><Relationship Id="rId22" Type="http://schemas.openxmlformats.org/officeDocument/2006/relationships/vmlDrawing" Target="../drawings/vmlDrawing1.vml"/><Relationship Id="rId27" Type="http://schemas.openxmlformats.org/officeDocument/2006/relationships/ctrlProp" Target="../ctrlProps/ctrlProp5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lickcharts.com/symbol/AVGO" TargetMode="External"/><Relationship Id="rId13" Type="http://schemas.openxmlformats.org/officeDocument/2006/relationships/hyperlink" Target="https://www.slickcharts.com/symbol/COST" TargetMode="External"/><Relationship Id="rId18" Type="http://schemas.openxmlformats.org/officeDocument/2006/relationships/hyperlink" Target="https://www.slickcharts.com/symbol/APP" TargetMode="External"/><Relationship Id="rId3" Type="http://schemas.openxmlformats.org/officeDocument/2006/relationships/hyperlink" Target="https://www.slickcharts.com/symbol/MSFT" TargetMode="External"/><Relationship Id="rId21" Type="http://schemas.openxmlformats.org/officeDocument/2006/relationships/drawing" Target="../drawings/drawing2.xml"/><Relationship Id="rId7" Type="http://schemas.openxmlformats.org/officeDocument/2006/relationships/hyperlink" Target="https://www.slickcharts.com/symbol/META" TargetMode="External"/><Relationship Id="rId12" Type="http://schemas.openxmlformats.org/officeDocument/2006/relationships/hyperlink" Target="https://www.slickcharts.com/symbol/NFLX" TargetMode="External"/><Relationship Id="rId17" Type="http://schemas.openxmlformats.org/officeDocument/2006/relationships/hyperlink" Target="https://www.slickcharts.com/symbol/AZN" TargetMode="External"/><Relationship Id="rId25" Type="http://schemas.openxmlformats.org/officeDocument/2006/relationships/ctrlProp" Target="../ctrlProps/ctrlProp10.xml"/><Relationship Id="rId2" Type="http://schemas.openxmlformats.org/officeDocument/2006/relationships/hyperlink" Target="https://www.slickcharts.com/symbol/AAPL" TargetMode="External"/><Relationship Id="rId16" Type="http://schemas.openxmlformats.org/officeDocument/2006/relationships/hyperlink" Target="https://www.slickcharts.com/symbol/CSCO" TargetMode="External"/><Relationship Id="rId20" Type="http://schemas.openxmlformats.org/officeDocument/2006/relationships/hyperlink" Target="https://www.slickcharts.com/symbol/SHOP" TargetMode="External"/><Relationship Id="rId1" Type="http://schemas.openxmlformats.org/officeDocument/2006/relationships/hyperlink" Target="https://www.slickcharts.com/symbol/NVDA" TargetMode="External"/><Relationship Id="rId6" Type="http://schemas.openxmlformats.org/officeDocument/2006/relationships/hyperlink" Target="https://www.slickcharts.com/symbol/GOOG" TargetMode="External"/><Relationship Id="rId11" Type="http://schemas.openxmlformats.org/officeDocument/2006/relationships/hyperlink" Target="https://www.slickcharts.com/symbol/ASML" TargetMode="External"/><Relationship Id="rId24" Type="http://schemas.openxmlformats.org/officeDocument/2006/relationships/ctrlProp" Target="../ctrlProps/ctrlProp9.xml"/><Relationship Id="rId5" Type="http://schemas.openxmlformats.org/officeDocument/2006/relationships/hyperlink" Target="https://www.slickcharts.com/symbol/GOOGL" TargetMode="External"/><Relationship Id="rId15" Type="http://schemas.openxmlformats.org/officeDocument/2006/relationships/hyperlink" Target="https://www.slickcharts.com/symbol/MU" TargetMode="External"/><Relationship Id="rId23" Type="http://schemas.openxmlformats.org/officeDocument/2006/relationships/ctrlProp" Target="../ctrlProps/ctrlProp8.xml"/><Relationship Id="rId10" Type="http://schemas.openxmlformats.org/officeDocument/2006/relationships/hyperlink" Target="https://www.slickcharts.com/symbol/PLTR" TargetMode="External"/><Relationship Id="rId19" Type="http://schemas.openxmlformats.org/officeDocument/2006/relationships/hyperlink" Target="https://www.slickcharts.com/symbol/TMUS" TargetMode="External"/><Relationship Id="rId4" Type="http://schemas.openxmlformats.org/officeDocument/2006/relationships/hyperlink" Target="https://www.slickcharts.com/symbol/AMZN" TargetMode="External"/><Relationship Id="rId9" Type="http://schemas.openxmlformats.org/officeDocument/2006/relationships/hyperlink" Target="https://www.slickcharts.com/symbol/TSLA" TargetMode="External"/><Relationship Id="rId14" Type="http://schemas.openxmlformats.org/officeDocument/2006/relationships/hyperlink" Target="https://www.slickcharts.com/symbol/AMD" TargetMode="External"/><Relationship Id="rId22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lickcharts.com/symbol/COST" TargetMode="External"/><Relationship Id="rId18" Type="http://schemas.openxmlformats.org/officeDocument/2006/relationships/hyperlink" Target="https://www.slickcharts.com/symbol/APP" TargetMode="External"/><Relationship Id="rId26" Type="http://schemas.openxmlformats.org/officeDocument/2006/relationships/hyperlink" Target="https://www.slickcharts.com/symbol/META" TargetMode="External"/><Relationship Id="rId39" Type="http://schemas.openxmlformats.org/officeDocument/2006/relationships/hyperlink" Target="https://www.slickcharts.com/symbol/SHOP" TargetMode="External"/><Relationship Id="rId21" Type="http://schemas.openxmlformats.org/officeDocument/2006/relationships/hyperlink" Target="https://www.slickcharts.com/symbol/AAPL" TargetMode="External"/><Relationship Id="rId34" Type="http://schemas.openxmlformats.org/officeDocument/2006/relationships/hyperlink" Target="https://www.slickcharts.com/symbol/MU" TargetMode="External"/><Relationship Id="rId7" Type="http://schemas.openxmlformats.org/officeDocument/2006/relationships/hyperlink" Target="https://www.slickcharts.com/symbol/META" TargetMode="External"/><Relationship Id="rId2" Type="http://schemas.openxmlformats.org/officeDocument/2006/relationships/hyperlink" Target="https://www.slickcharts.com/symbol/AAPL" TargetMode="External"/><Relationship Id="rId16" Type="http://schemas.openxmlformats.org/officeDocument/2006/relationships/hyperlink" Target="https://www.slickcharts.com/symbol/CSCO" TargetMode="External"/><Relationship Id="rId20" Type="http://schemas.openxmlformats.org/officeDocument/2006/relationships/hyperlink" Target="https://www.slickcharts.com/symbol/SHOP" TargetMode="External"/><Relationship Id="rId29" Type="http://schemas.openxmlformats.org/officeDocument/2006/relationships/hyperlink" Target="https://www.slickcharts.com/symbol/PLTR" TargetMode="External"/><Relationship Id="rId41" Type="http://schemas.openxmlformats.org/officeDocument/2006/relationships/drawing" Target="../drawings/drawing3.xml"/><Relationship Id="rId1" Type="http://schemas.openxmlformats.org/officeDocument/2006/relationships/hyperlink" Target="https://www.slickcharts.com/symbol/NVDA" TargetMode="External"/><Relationship Id="rId6" Type="http://schemas.openxmlformats.org/officeDocument/2006/relationships/hyperlink" Target="https://www.slickcharts.com/symbol/GOOG" TargetMode="External"/><Relationship Id="rId11" Type="http://schemas.openxmlformats.org/officeDocument/2006/relationships/hyperlink" Target="https://www.slickcharts.com/symbol/ASML" TargetMode="External"/><Relationship Id="rId24" Type="http://schemas.openxmlformats.org/officeDocument/2006/relationships/hyperlink" Target="https://www.slickcharts.com/symbol/GOOGL" TargetMode="External"/><Relationship Id="rId32" Type="http://schemas.openxmlformats.org/officeDocument/2006/relationships/hyperlink" Target="https://www.slickcharts.com/symbol/COST" TargetMode="External"/><Relationship Id="rId37" Type="http://schemas.openxmlformats.org/officeDocument/2006/relationships/hyperlink" Target="https://www.slickcharts.com/symbol/APP" TargetMode="External"/><Relationship Id="rId40" Type="http://schemas.openxmlformats.org/officeDocument/2006/relationships/hyperlink" Target="https://www.slickcharts.com/symbol/NVDA" TargetMode="External"/><Relationship Id="rId5" Type="http://schemas.openxmlformats.org/officeDocument/2006/relationships/hyperlink" Target="https://www.slickcharts.com/symbol/GOOGL" TargetMode="External"/><Relationship Id="rId15" Type="http://schemas.openxmlformats.org/officeDocument/2006/relationships/hyperlink" Target="https://www.slickcharts.com/symbol/MU" TargetMode="External"/><Relationship Id="rId23" Type="http://schemas.openxmlformats.org/officeDocument/2006/relationships/hyperlink" Target="https://www.slickcharts.com/symbol/AMZN" TargetMode="External"/><Relationship Id="rId28" Type="http://schemas.openxmlformats.org/officeDocument/2006/relationships/hyperlink" Target="https://www.slickcharts.com/symbol/TSLA" TargetMode="External"/><Relationship Id="rId36" Type="http://schemas.openxmlformats.org/officeDocument/2006/relationships/hyperlink" Target="https://www.slickcharts.com/symbol/AZN" TargetMode="External"/><Relationship Id="rId10" Type="http://schemas.openxmlformats.org/officeDocument/2006/relationships/hyperlink" Target="https://www.slickcharts.com/symbol/PLTR" TargetMode="External"/><Relationship Id="rId19" Type="http://schemas.openxmlformats.org/officeDocument/2006/relationships/hyperlink" Target="https://www.slickcharts.com/symbol/TMUS" TargetMode="External"/><Relationship Id="rId31" Type="http://schemas.openxmlformats.org/officeDocument/2006/relationships/hyperlink" Target="https://www.slickcharts.com/symbol/NFLX" TargetMode="External"/><Relationship Id="rId4" Type="http://schemas.openxmlformats.org/officeDocument/2006/relationships/hyperlink" Target="https://www.slickcharts.com/symbol/AMZN" TargetMode="External"/><Relationship Id="rId9" Type="http://schemas.openxmlformats.org/officeDocument/2006/relationships/hyperlink" Target="https://www.slickcharts.com/symbol/TSLA" TargetMode="External"/><Relationship Id="rId14" Type="http://schemas.openxmlformats.org/officeDocument/2006/relationships/hyperlink" Target="https://www.slickcharts.com/symbol/AMD" TargetMode="External"/><Relationship Id="rId22" Type="http://schemas.openxmlformats.org/officeDocument/2006/relationships/hyperlink" Target="https://www.slickcharts.com/symbol/MSFT" TargetMode="External"/><Relationship Id="rId27" Type="http://schemas.openxmlformats.org/officeDocument/2006/relationships/hyperlink" Target="https://www.slickcharts.com/symbol/AVGO" TargetMode="External"/><Relationship Id="rId30" Type="http://schemas.openxmlformats.org/officeDocument/2006/relationships/hyperlink" Target="https://www.slickcharts.com/symbol/ASML" TargetMode="External"/><Relationship Id="rId35" Type="http://schemas.openxmlformats.org/officeDocument/2006/relationships/hyperlink" Target="https://www.slickcharts.com/symbol/CSCO" TargetMode="External"/><Relationship Id="rId8" Type="http://schemas.openxmlformats.org/officeDocument/2006/relationships/hyperlink" Target="https://www.slickcharts.com/symbol/AVGO" TargetMode="External"/><Relationship Id="rId3" Type="http://schemas.openxmlformats.org/officeDocument/2006/relationships/hyperlink" Target="https://www.slickcharts.com/symbol/MSFT" TargetMode="External"/><Relationship Id="rId12" Type="http://schemas.openxmlformats.org/officeDocument/2006/relationships/hyperlink" Target="https://www.slickcharts.com/symbol/NFLX" TargetMode="External"/><Relationship Id="rId17" Type="http://schemas.openxmlformats.org/officeDocument/2006/relationships/hyperlink" Target="https://www.slickcharts.com/symbol/AZN" TargetMode="External"/><Relationship Id="rId25" Type="http://schemas.openxmlformats.org/officeDocument/2006/relationships/hyperlink" Target="https://www.slickcharts.com/symbol/GOOG" TargetMode="External"/><Relationship Id="rId33" Type="http://schemas.openxmlformats.org/officeDocument/2006/relationships/hyperlink" Target="https://www.slickcharts.com/symbol/AMD" TargetMode="External"/><Relationship Id="rId38" Type="http://schemas.openxmlformats.org/officeDocument/2006/relationships/hyperlink" Target="https://www.slickcharts.com/symbol/TMUS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slickcharts.com/symbol/COST" TargetMode="External"/><Relationship Id="rId18" Type="http://schemas.openxmlformats.org/officeDocument/2006/relationships/hyperlink" Target="https://www.slickcharts.com/symbol/APP" TargetMode="External"/><Relationship Id="rId26" Type="http://schemas.openxmlformats.org/officeDocument/2006/relationships/hyperlink" Target="https://www.slickcharts.com/symbol/META" TargetMode="External"/><Relationship Id="rId39" Type="http://schemas.openxmlformats.org/officeDocument/2006/relationships/hyperlink" Target="https://www.slickcharts.com/symbol/SHOP" TargetMode="External"/><Relationship Id="rId21" Type="http://schemas.openxmlformats.org/officeDocument/2006/relationships/hyperlink" Target="https://www.slickcharts.com/symbol/AAPL" TargetMode="External"/><Relationship Id="rId34" Type="http://schemas.openxmlformats.org/officeDocument/2006/relationships/hyperlink" Target="https://www.slickcharts.com/symbol/MU" TargetMode="External"/><Relationship Id="rId7" Type="http://schemas.openxmlformats.org/officeDocument/2006/relationships/hyperlink" Target="https://www.slickcharts.com/symbol/META" TargetMode="External"/><Relationship Id="rId12" Type="http://schemas.openxmlformats.org/officeDocument/2006/relationships/hyperlink" Target="https://www.slickcharts.com/symbol/NFLX" TargetMode="External"/><Relationship Id="rId17" Type="http://schemas.openxmlformats.org/officeDocument/2006/relationships/hyperlink" Target="https://www.slickcharts.com/symbol/AZN" TargetMode="External"/><Relationship Id="rId25" Type="http://schemas.openxmlformats.org/officeDocument/2006/relationships/hyperlink" Target="https://www.slickcharts.com/symbol/GOOG" TargetMode="External"/><Relationship Id="rId33" Type="http://schemas.openxmlformats.org/officeDocument/2006/relationships/hyperlink" Target="https://www.slickcharts.com/symbol/AMD" TargetMode="External"/><Relationship Id="rId38" Type="http://schemas.openxmlformats.org/officeDocument/2006/relationships/hyperlink" Target="https://www.slickcharts.com/symbol/TMUS" TargetMode="External"/><Relationship Id="rId2" Type="http://schemas.openxmlformats.org/officeDocument/2006/relationships/hyperlink" Target="https://www.slickcharts.com/symbol/AAPL" TargetMode="External"/><Relationship Id="rId16" Type="http://schemas.openxmlformats.org/officeDocument/2006/relationships/hyperlink" Target="https://www.slickcharts.com/symbol/CSCO" TargetMode="External"/><Relationship Id="rId20" Type="http://schemas.openxmlformats.org/officeDocument/2006/relationships/hyperlink" Target="https://www.slickcharts.com/symbol/SHOP" TargetMode="External"/><Relationship Id="rId29" Type="http://schemas.openxmlformats.org/officeDocument/2006/relationships/hyperlink" Target="https://www.slickcharts.com/symbol/PLTR" TargetMode="External"/><Relationship Id="rId1" Type="http://schemas.openxmlformats.org/officeDocument/2006/relationships/hyperlink" Target="https://www.slickcharts.com/symbol/NVDA" TargetMode="External"/><Relationship Id="rId6" Type="http://schemas.openxmlformats.org/officeDocument/2006/relationships/hyperlink" Target="https://www.slickcharts.com/symbol/GOOG" TargetMode="External"/><Relationship Id="rId11" Type="http://schemas.openxmlformats.org/officeDocument/2006/relationships/hyperlink" Target="https://www.slickcharts.com/symbol/ASML" TargetMode="External"/><Relationship Id="rId24" Type="http://schemas.openxmlformats.org/officeDocument/2006/relationships/hyperlink" Target="https://www.slickcharts.com/symbol/GOOGL" TargetMode="External"/><Relationship Id="rId32" Type="http://schemas.openxmlformats.org/officeDocument/2006/relationships/hyperlink" Target="https://www.slickcharts.com/symbol/COST" TargetMode="External"/><Relationship Id="rId37" Type="http://schemas.openxmlformats.org/officeDocument/2006/relationships/hyperlink" Target="https://www.slickcharts.com/symbol/APP" TargetMode="External"/><Relationship Id="rId40" Type="http://schemas.openxmlformats.org/officeDocument/2006/relationships/hyperlink" Target="https://www.slickcharts.com/symbol/NVDA" TargetMode="External"/><Relationship Id="rId5" Type="http://schemas.openxmlformats.org/officeDocument/2006/relationships/hyperlink" Target="https://www.slickcharts.com/symbol/GOOGL" TargetMode="External"/><Relationship Id="rId15" Type="http://schemas.openxmlformats.org/officeDocument/2006/relationships/hyperlink" Target="https://www.slickcharts.com/symbol/MU" TargetMode="External"/><Relationship Id="rId23" Type="http://schemas.openxmlformats.org/officeDocument/2006/relationships/hyperlink" Target="https://www.slickcharts.com/symbol/AMZN" TargetMode="External"/><Relationship Id="rId28" Type="http://schemas.openxmlformats.org/officeDocument/2006/relationships/hyperlink" Target="https://www.slickcharts.com/symbol/TSLA" TargetMode="External"/><Relationship Id="rId36" Type="http://schemas.openxmlformats.org/officeDocument/2006/relationships/hyperlink" Target="https://www.slickcharts.com/symbol/AZN" TargetMode="External"/><Relationship Id="rId10" Type="http://schemas.openxmlformats.org/officeDocument/2006/relationships/hyperlink" Target="https://www.slickcharts.com/symbol/PLTR" TargetMode="External"/><Relationship Id="rId19" Type="http://schemas.openxmlformats.org/officeDocument/2006/relationships/hyperlink" Target="https://www.slickcharts.com/symbol/TMUS" TargetMode="External"/><Relationship Id="rId31" Type="http://schemas.openxmlformats.org/officeDocument/2006/relationships/hyperlink" Target="https://www.slickcharts.com/symbol/NFLX" TargetMode="External"/><Relationship Id="rId4" Type="http://schemas.openxmlformats.org/officeDocument/2006/relationships/hyperlink" Target="https://www.slickcharts.com/symbol/AMZN" TargetMode="External"/><Relationship Id="rId9" Type="http://schemas.openxmlformats.org/officeDocument/2006/relationships/hyperlink" Target="https://www.slickcharts.com/symbol/TSLA" TargetMode="External"/><Relationship Id="rId14" Type="http://schemas.openxmlformats.org/officeDocument/2006/relationships/hyperlink" Target="https://www.slickcharts.com/symbol/AMD" TargetMode="External"/><Relationship Id="rId22" Type="http://schemas.openxmlformats.org/officeDocument/2006/relationships/hyperlink" Target="https://www.slickcharts.com/symbol/MSFT" TargetMode="External"/><Relationship Id="rId27" Type="http://schemas.openxmlformats.org/officeDocument/2006/relationships/hyperlink" Target="https://www.slickcharts.com/symbol/AVGO" TargetMode="External"/><Relationship Id="rId30" Type="http://schemas.openxmlformats.org/officeDocument/2006/relationships/hyperlink" Target="https://www.slickcharts.com/symbol/ASML" TargetMode="External"/><Relationship Id="rId35" Type="http://schemas.openxmlformats.org/officeDocument/2006/relationships/hyperlink" Target="https://www.slickcharts.com/symbol/CSCO" TargetMode="External"/><Relationship Id="rId8" Type="http://schemas.openxmlformats.org/officeDocument/2006/relationships/hyperlink" Target="https://www.slickcharts.com/symbol/AVGO" TargetMode="External"/><Relationship Id="rId3" Type="http://schemas.openxmlformats.org/officeDocument/2006/relationships/hyperlink" Target="https://www.slickcharts.com/symbol/MSF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4563C4-3D19-4175-A171-CC56922FC275}">
  <sheetPr codeName="Sheet1"/>
  <dimension ref="B2:AM38"/>
  <sheetViews>
    <sheetView topLeftCell="J1" zoomScale="81" zoomScaleNormal="65" workbookViewId="0">
      <selection activeCell="R11" sqref="R11"/>
    </sheetView>
  </sheetViews>
  <sheetFormatPr defaultRowHeight="14.4" x14ac:dyDescent="0.3"/>
  <cols>
    <col min="1" max="1" width="0" hidden="1" customWidth="1"/>
    <col min="2" max="2" width="24.33203125" hidden="1" customWidth="1"/>
    <col min="3" max="4" width="0" hidden="1" customWidth="1"/>
    <col min="5" max="5" width="10.109375" hidden="1" customWidth="1"/>
    <col min="6" max="6" width="0" hidden="1" customWidth="1"/>
    <col min="7" max="7" width="15.21875" hidden="1" customWidth="1"/>
    <col min="8" max="9" width="0" hidden="1" customWidth="1"/>
    <col min="11" max="11" width="27" bestFit="1" customWidth="1"/>
    <col min="12" max="12" width="10.109375" bestFit="1" customWidth="1"/>
  </cols>
  <sheetData>
    <row r="2" spans="2:29" ht="15" thickBot="1" x14ac:dyDescent="0.35"/>
    <row r="3" spans="2:29" x14ac:dyDescent="0.3">
      <c r="B3" t="s">
        <v>43</v>
      </c>
      <c r="C3">
        <v>13</v>
      </c>
      <c r="H3">
        <v>1</v>
      </c>
      <c r="K3" s="17" t="s">
        <v>52</v>
      </c>
      <c r="L3" s="18"/>
      <c r="M3" s="19"/>
    </row>
    <row r="4" spans="2:29" x14ac:dyDescent="0.3">
      <c r="B4" t="s">
        <v>44</v>
      </c>
      <c r="C4" t="s">
        <v>45</v>
      </c>
      <c r="D4" t="s">
        <v>46</v>
      </c>
      <c r="E4" t="s">
        <v>47</v>
      </c>
      <c r="G4" t="s">
        <v>0</v>
      </c>
      <c r="H4">
        <v>1</v>
      </c>
      <c r="K4" s="20" t="s">
        <v>53</v>
      </c>
      <c r="L4" s="21"/>
      <c r="M4" s="22"/>
    </row>
    <row r="5" spans="2:29" x14ac:dyDescent="0.3">
      <c r="B5" t="s">
        <v>9</v>
      </c>
      <c r="C5">
        <v>1</v>
      </c>
      <c r="D5">
        <f ca="1">'list of the pct_chng of stocks'!C5</f>
        <v>6.8484297288266646E-2</v>
      </c>
      <c r="E5" vm="1">
        <f ca="1">'list of the stocks'!C5</f>
        <v>188.85</v>
      </c>
      <c r="G5" t="s">
        <v>1</v>
      </c>
      <c r="H5">
        <v>2</v>
      </c>
      <c r="K5" s="20" t="s">
        <v>54</v>
      </c>
      <c r="L5" s="21"/>
      <c r="M5" s="22"/>
    </row>
    <row r="6" spans="2:29" x14ac:dyDescent="0.3">
      <c r="B6" t="s">
        <v>11</v>
      </c>
      <c r="C6">
        <v>2</v>
      </c>
      <c r="D6">
        <f ca="1">'list of the pct_chng of stocks'!C6</f>
        <v>2.0083232793760435E-2</v>
      </c>
      <c r="E6" vm="2">
        <f ca="1">'list of the stocks'!C6</f>
        <v>271.01</v>
      </c>
      <c r="H6">
        <v>2</v>
      </c>
      <c r="K6" s="50" t="s">
        <v>55</v>
      </c>
      <c r="L6" s="51">
        <f ca="1">L12-70+H10</f>
        <v>904.5</v>
      </c>
      <c r="M6" s="22"/>
    </row>
    <row r="7" spans="2:29" x14ac:dyDescent="0.3">
      <c r="B7" t="s">
        <v>12</v>
      </c>
      <c r="C7">
        <v>3</v>
      </c>
      <c r="D7">
        <f ca="1">'list of the pct_chng of stocks'!C7</f>
        <v>3.908666225664132E-2</v>
      </c>
      <c r="E7" vm="3">
        <f ca="1">'list of the stocks'!C7</f>
        <v>472.94</v>
      </c>
      <c r="G7" t="s">
        <v>49</v>
      </c>
      <c r="H7">
        <v>1</v>
      </c>
      <c r="K7" s="50"/>
      <c r="L7" s="51"/>
      <c r="M7" s="22"/>
    </row>
    <row r="8" spans="2:29" x14ac:dyDescent="0.3">
      <c r="B8" t="s">
        <v>14</v>
      </c>
      <c r="C8">
        <v>4</v>
      </c>
      <c r="D8">
        <f ca="1">'list of the pct_chng of stocks'!C8</f>
        <v>4.1145191158641431E-2</v>
      </c>
      <c r="E8" vm="4">
        <f ca="1">'list of the stocks'!C8</f>
        <v>226.5</v>
      </c>
      <c r="G8" t="s">
        <v>50</v>
      </c>
      <c r="H8">
        <v>2</v>
      </c>
      <c r="K8" s="50" t="s">
        <v>56</v>
      </c>
      <c r="L8" s="51">
        <v>1</v>
      </c>
      <c r="M8" s="22"/>
      <c r="P8" s="1" t="s">
        <v>61</v>
      </c>
      <c r="AC8" s="1" t="s">
        <v>62</v>
      </c>
    </row>
    <row r="9" spans="2:29" x14ac:dyDescent="0.3">
      <c r="B9" t="s">
        <v>15</v>
      </c>
      <c r="C9">
        <v>5</v>
      </c>
      <c r="D9">
        <f ca="1">'list of the pct_chng of stocks'!C9</f>
        <v>4.9846733069435566E-2</v>
      </c>
      <c r="E9" vm="5">
        <f ca="1">'list of the stocks'!C9</f>
        <v>315.14999999999998</v>
      </c>
      <c r="K9" s="50"/>
      <c r="L9" s="51"/>
      <c r="M9" s="22"/>
    </row>
    <row r="10" spans="2:29" x14ac:dyDescent="0.3">
      <c r="B10" t="s">
        <v>16</v>
      </c>
      <c r="C10">
        <v>6</v>
      </c>
      <c r="D10">
        <f ca="1">'list of the pct_chng of stocks'!C10</f>
        <v>4.8805411181380265E-2</v>
      </c>
      <c r="E10" vm="6">
        <f ca="1">'list of the stocks'!C10</f>
        <v>315.32</v>
      </c>
      <c r="G10" t="s">
        <v>60</v>
      </c>
      <c r="H10">
        <v>120</v>
      </c>
      <c r="K10" s="50" t="s">
        <v>51</v>
      </c>
      <c r="L10" s="51">
        <v>10</v>
      </c>
      <c r="M10" s="22"/>
    </row>
    <row r="11" spans="2:29" x14ac:dyDescent="0.3">
      <c r="B11" t="s">
        <v>17</v>
      </c>
      <c r="C11">
        <v>7</v>
      </c>
      <c r="D11">
        <f ca="1">'list of the pct_chng of stocks'!C11</f>
        <v>3.8368673502311927E-2</v>
      </c>
      <c r="E11" vm="7">
        <f ca="1">'list of the stocks'!C11</f>
        <v>650.41</v>
      </c>
      <c r="K11" s="50"/>
      <c r="L11" s="51"/>
      <c r="M11" s="22"/>
    </row>
    <row r="12" spans="2:29" x14ac:dyDescent="0.3">
      <c r="B12" t="s">
        <v>19</v>
      </c>
      <c r="C12">
        <v>8</v>
      </c>
      <c r="D12">
        <f ca="1">'list of the pct_chng of stocks'!C12</f>
        <v>0.12668012314117008</v>
      </c>
      <c r="E12" vm="8">
        <f ca="1">'list of the stocks'!C12</f>
        <v>347.62</v>
      </c>
      <c r="G12" t="str" cm="1">
        <f t="array" ref="G12">INDEX(G4:H5,H3,1)</f>
        <v>European</v>
      </c>
      <c r="H12" t="str" cm="1">
        <f t="array" ref="H12">INDEX(G7:H8,H6,1)</f>
        <v>Put</v>
      </c>
      <c r="K12" s="50" t="s">
        <v>57</v>
      </c>
      <c r="L12" s="51" cm="1" vm="9">
        <f t="array" aca="1" ref="L12" ca="1">INDEX(C5:E24,C3,3)</f>
        <v>854.5</v>
      </c>
      <c r="M12" s="22"/>
    </row>
    <row r="13" spans="2:29" x14ac:dyDescent="0.3">
      <c r="B13" t="s">
        <v>20</v>
      </c>
      <c r="C13">
        <v>9</v>
      </c>
      <c r="D13">
        <f ca="1">'list of the pct_chng of stocks'!C13</f>
        <v>8.6455393825078011E-2</v>
      </c>
      <c r="E13" vm="10">
        <f ca="1">'list of the stocks'!C13</f>
        <v>438.07</v>
      </c>
      <c r="G13" t="str" cm="1">
        <f t="array" ref="G13">INDEX(B5:C24,C3,1)</f>
        <v>Costco</v>
      </c>
      <c r="K13" s="50"/>
      <c r="L13" s="51"/>
      <c r="M13" s="22"/>
    </row>
    <row r="14" spans="2:29" x14ac:dyDescent="0.3">
      <c r="B14" t="s">
        <v>22</v>
      </c>
      <c r="C14">
        <v>10</v>
      </c>
      <c r="D14">
        <f ca="1">'list of the pct_chng of stocks'!C14</f>
        <v>0.10006409211538794</v>
      </c>
      <c r="E14" vm="11">
        <f ca="1">'list of the stocks'!C14</f>
        <v>167.86</v>
      </c>
      <c r="K14" s="50" t="s">
        <v>58</v>
      </c>
      <c r="L14" s="51" cm="1">
        <f t="array" aca="1" ref="L14" ca="1">INDEX(C5:E24,C3,2)</f>
        <v>3.5087652895286342E-2</v>
      </c>
      <c r="M14" s="22"/>
    </row>
    <row r="15" spans="2:29" x14ac:dyDescent="0.3">
      <c r="B15" t="s">
        <v>24</v>
      </c>
      <c r="C15">
        <v>11</v>
      </c>
      <c r="D15">
        <f ca="1">'list of the pct_chng of stocks'!C15</f>
        <v>9.6704608248157742E-2</v>
      </c>
      <c r="E15" vm="12">
        <f ca="1">'list of the stocks'!C15</f>
        <v>1163.78</v>
      </c>
      <c r="K15" s="50"/>
      <c r="L15" s="51"/>
      <c r="M15" s="22"/>
    </row>
    <row r="16" spans="2:29" x14ac:dyDescent="0.3">
      <c r="B16" t="s">
        <v>26</v>
      </c>
      <c r="C16">
        <v>12</v>
      </c>
      <c r="D16">
        <f ca="1">'list of the pct_chng of stocks'!C16</f>
        <v>5.5747350970857652E-2</v>
      </c>
      <c r="E16" vm="13">
        <f ca="1">'list of the stocks'!C16</f>
        <v>90.99</v>
      </c>
      <c r="K16" s="50" t="s">
        <v>59</v>
      </c>
      <c r="L16" s="51">
        <f ca="1">'list of the stocks'!E29</f>
        <v>3.492E-2</v>
      </c>
      <c r="M16" s="22"/>
    </row>
    <row r="17" spans="2:39" x14ac:dyDescent="0.3">
      <c r="B17" t="s">
        <v>28</v>
      </c>
      <c r="C17">
        <v>13</v>
      </c>
      <c r="D17">
        <f ca="1">'list of the pct_chng of stocks'!C17</f>
        <v>3.5087652895286342E-2</v>
      </c>
      <c r="E17" vm="9">
        <f ca="1">'list of the stocks'!C17</f>
        <v>854.5</v>
      </c>
      <c r="K17" s="50"/>
      <c r="L17" s="51"/>
      <c r="M17" s="22"/>
    </row>
    <row r="18" spans="2:39" x14ac:dyDescent="0.3">
      <c r="B18" t="s">
        <v>30</v>
      </c>
      <c r="C18">
        <v>14</v>
      </c>
      <c r="D18">
        <f ca="1">'list of the pct_chng of stocks'!C18</f>
        <v>9.0232280756257402E-2</v>
      </c>
      <c r="E18" vm="14">
        <f ca="1">'list of the stocks'!C18</f>
        <v>223.47</v>
      </c>
      <c r="K18" s="20"/>
      <c r="L18" s="21"/>
      <c r="M18" s="22"/>
      <c r="Z18" s="6">
        <v>954.77</v>
      </c>
      <c r="AM18" s="5">
        <v>0</v>
      </c>
    </row>
    <row r="19" spans="2:39" x14ac:dyDescent="0.3">
      <c r="B19" t="s">
        <v>31</v>
      </c>
      <c r="C19">
        <v>15</v>
      </c>
      <c r="D19">
        <f ca="1">'list of the pct_chng of stocks'!C19</f>
        <v>0.15730246933291589</v>
      </c>
      <c r="E19" vm="15">
        <f ca="1">'list of the stocks'!C19</f>
        <v>315.42</v>
      </c>
      <c r="K19" s="52" t="str">
        <f>G12&amp;" "&amp;H12&amp;" Option price for "&amp;G13</f>
        <v>European Put Option price for Costco</v>
      </c>
      <c r="L19" s="51"/>
      <c r="M19" s="22"/>
      <c r="Y19" s="6">
        <v>944.24</v>
      </c>
      <c r="AL19" s="5">
        <v>0</v>
      </c>
    </row>
    <row r="20" spans="2:39" ht="15" thickBot="1" x14ac:dyDescent="0.35">
      <c r="B20" t="s">
        <v>33</v>
      </c>
      <c r="C20">
        <v>16</v>
      </c>
      <c r="D20">
        <f ca="1">'list of the pct_chng of stocks'!C20</f>
        <v>3.7954508713926909E-2</v>
      </c>
      <c r="E20" vm="16">
        <f ca="1">'list of the stocks'!C20</f>
        <v>76.040000000000006</v>
      </c>
      <c r="K20" s="53">
        <v>23.373044334024829</v>
      </c>
      <c r="L20" s="54"/>
      <c r="M20" s="24"/>
      <c r="X20" s="6">
        <v>933.82</v>
      </c>
      <c r="Z20" s="6">
        <v>933.82</v>
      </c>
      <c r="AK20" s="5">
        <v>0</v>
      </c>
      <c r="AM20" s="5">
        <v>0</v>
      </c>
    </row>
    <row r="21" spans="2:39" x14ac:dyDescent="0.3">
      <c r="B21" t="s">
        <v>35</v>
      </c>
      <c r="C21">
        <v>17</v>
      </c>
      <c r="D21">
        <f ca="1">'list of the pct_chng of stocks'!C21</f>
        <v>3.6395018427042451E-2</v>
      </c>
      <c r="E21" vm="17">
        <f ca="1">'list of the stocks'!C21</f>
        <v>91.57</v>
      </c>
      <c r="W21" s="6">
        <v>923.51</v>
      </c>
      <c r="Y21" s="6">
        <v>923.51</v>
      </c>
      <c r="AJ21" s="5">
        <v>0.45650000000000002</v>
      </c>
      <c r="AL21" s="5">
        <v>0</v>
      </c>
    </row>
    <row r="22" spans="2:39" x14ac:dyDescent="0.3">
      <c r="B22" t="s">
        <v>37</v>
      </c>
      <c r="C22">
        <v>18</v>
      </c>
      <c r="D22">
        <f ca="1">'list of the pct_chng of stocks'!C22</f>
        <v>0.12563692530908432</v>
      </c>
      <c r="E22" vm="18">
        <f ca="1">'list of the stocks'!C22</f>
        <v>618.32000000000005</v>
      </c>
      <c r="V22" s="6">
        <v>913.32</v>
      </c>
      <c r="X22" s="6">
        <v>913.32</v>
      </c>
      <c r="Z22" s="6">
        <v>913.32</v>
      </c>
      <c r="AI22" s="5">
        <v>1.623</v>
      </c>
      <c r="AK22" s="5">
        <v>1.3273999999999999</v>
      </c>
      <c r="AM22" s="5">
        <v>0</v>
      </c>
    </row>
    <row r="23" spans="2:39" x14ac:dyDescent="0.3">
      <c r="B23" t="s">
        <v>39</v>
      </c>
      <c r="C23">
        <v>19</v>
      </c>
      <c r="D23">
        <f ca="1">'list of the pct_chng of stocks'!C23</f>
        <v>4.482783406013735E-2</v>
      </c>
      <c r="E23" vm="19">
        <f ca="1">'list of the stocks'!C23</f>
        <v>199.58</v>
      </c>
      <c r="U23" s="6">
        <v>903.25</v>
      </c>
      <c r="W23" s="6">
        <v>903.25</v>
      </c>
      <c r="Y23" s="6">
        <v>903.25</v>
      </c>
      <c r="AH23" s="5">
        <v>3.5922999999999998</v>
      </c>
      <c r="AJ23" s="5">
        <v>3.8527999999999998</v>
      </c>
      <c r="AL23" s="5">
        <v>3.8593000000000002</v>
      </c>
    </row>
    <row r="24" spans="2:39" x14ac:dyDescent="0.3">
      <c r="B24" t="s">
        <v>41</v>
      </c>
      <c r="C24">
        <v>20</v>
      </c>
      <c r="D24">
        <f ca="1">'list of the pct_chng of stocks'!C24</f>
        <v>7.4249126457016312E-2</v>
      </c>
      <c r="E24" vm="20">
        <f ca="1">'list of the stocks'!C24</f>
        <v>157.19999999999999</v>
      </c>
      <c r="T24" s="6">
        <v>893.28</v>
      </c>
      <c r="V24" s="6">
        <v>893.28</v>
      </c>
      <c r="X24" s="6">
        <v>893.28</v>
      </c>
      <c r="Z24" s="6">
        <v>893.28</v>
      </c>
      <c r="AG24" s="5">
        <v>6.3489000000000004</v>
      </c>
      <c r="AI24" s="5">
        <v>7.3650000000000002</v>
      </c>
      <c r="AK24" s="5">
        <v>8.6834000000000007</v>
      </c>
      <c r="AM24" s="5">
        <v>11.220700000000001</v>
      </c>
    </row>
    <row r="25" spans="2:39" x14ac:dyDescent="0.3">
      <c r="S25" s="6">
        <v>883.42</v>
      </c>
      <c r="U25" s="6">
        <v>883.42</v>
      </c>
      <c r="W25" s="6">
        <v>883.42</v>
      </c>
      <c r="Y25" s="6">
        <v>883.42</v>
      </c>
      <c r="AF25" s="5">
        <v>9.8149999999999995</v>
      </c>
      <c r="AH25" s="5">
        <v>11.643599999999999</v>
      </c>
      <c r="AJ25" s="5">
        <v>14.1036</v>
      </c>
      <c r="AL25" s="5">
        <v>17.924499999999998</v>
      </c>
    </row>
    <row r="26" spans="2:39" x14ac:dyDescent="0.3">
      <c r="R26" s="6">
        <v>873.67</v>
      </c>
      <c r="T26" s="6">
        <v>873.67</v>
      </c>
      <c r="V26" s="6">
        <v>873.67</v>
      </c>
      <c r="X26" s="6">
        <v>873.67</v>
      </c>
      <c r="Z26" s="6">
        <v>873.67</v>
      </c>
      <c r="AE26" s="5">
        <v>13.8832</v>
      </c>
      <c r="AG26" s="5">
        <v>16.4908</v>
      </c>
      <c r="AI26" s="5">
        <v>19.8795</v>
      </c>
      <c r="AK26" s="5">
        <v>24.5305</v>
      </c>
      <c r="AM26" s="5">
        <v>30.825500000000002</v>
      </c>
    </row>
    <row r="27" spans="2:39" x14ac:dyDescent="0.3">
      <c r="Q27" s="6">
        <v>864.03</v>
      </c>
      <c r="S27" s="6">
        <v>864.03</v>
      </c>
      <c r="U27" s="6">
        <v>864.03</v>
      </c>
      <c r="W27" s="6">
        <v>864.03</v>
      </c>
      <c r="Y27" s="6">
        <v>864.03</v>
      </c>
      <c r="AD27" s="5">
        <v>18.438800000000001</v>
      </c>
      <c r="AF27" s="5">
        <v>21.742599999999999</v>
      </c>
      <c r="AH27" s="5">
        <v>25.854700000000001</v>
      </c>
      <c r="AJ27" s="5">
        <v>31.039899999999999</v>
      </c>
      <c r="AL27" s="5">
        <v>37.312899999999999</v>
      </c>
    </row>
    <row r="28" spans="2:39" x14ac:dyDescent="0.3">
      <c r="P28" s="6">
        <v>854.5</v>
      </c>
      <c r="R28" s="6">
        <v>854.5</v>
      </c>
      <c r="T28" s="6">
        <v>854.5</v>
      </c>
      <c r="V28" s="6">
        <v>854.5</v>
      </c>
      <c r="X28" s="6">
        <v>854.5</v>
      </c>
      <c r="Z28" s="6">
        <v>854.5</v>
      </c>
      <c r="AC28" s="5">
        <v>23.373000000000001</v>
      </c>
      <c r="AE28" s="5">
        <v>27.269400000000001</v>
      </c>
      <c r="AG28" s="5">
        <v>31.927499999999998</v>
      </c>
      <c r="AI28" s="5">
        <v>37.453800000000001</v>
      </c>
      <c r="AK28" s="5">
        <v>43.704999999999998</v>
      </c>
      <c r="AM28" s="5">
        <v>50</v>
      </c>
    </row>
    <row r="29" spans="2:39" x14ac:dyDescent="0.3">
      <c r="Q29" s="6">
        <v>845.07</v>
      </c>
      <c r="S29" s="6">
        <v>845.07</v>
      </c>
      <c r="U29" s="6">
        <v>845.07</v>
      </c>
      <c r="W29" s="6">
        <v>845.07</v>
      </c>
      <c r="Y29" s="6">
        <v>845.07</v>
      </c>
      <c r="AD29" s="5">
        <v>32.971800000000002</v>
      </c>
      <c r="AF29" s="5">
        <v>38.031999999999996</v>
      </c>
      <c r="AH29" s="5">
        <v>43.773400000000002</v>
      </c>
      <c r="AJ29" s="5">
        <v>50.002800000000001</v>
      </c>
      <c r="AL29" s="5">
        <v>56.2759</v>
      </c>
    </row>
    <row r="30" spans="2:39" x14ac:dyDescent="0.3">
      <c r="R30" s="6">
        <v>835.75</v>
      </c>
      <c r="T30" s="6">
        <v>835.75</v>
      </c>
      <c r="V30" s="6">
        <v>835.75</v>
      </c>
      <c r="X30" s="6">
        <v>835.75</v>
      </c>
      <c r="Z30" s="6">
        <v>835.75</v>
      </c>
      <c r="AE30" s="5">
        <v>44.125500000000002</v>
      </c>
      <c r="AG30" s="5">
        <v>49.999699999999997</v>
      </c>
      <c r="AI30" s="5">
        <v>56.207500000000003</v>
      </c>
      <c r="AK30" s="5">
        <v>62.4587</v>
      </c>
      <c r="AM30" s="5">
        <v>68.753699999999995</v>
      </c>
    </row>
    <row r="31" spans="2:39" x14ac:dyDescent="0.3">
      <c r="S31" s="6">
        <v>826.52</v>
      </c>
      <c r="U31" s="6">
        <v>826.52</v>
      </c>
      <c r="W31" s="6">
        <v>826.52</v>
      </c>
      <c r="Y31" s="6">
        <v>826.52</v>
      </c>
      <c r="AF31" s="5">
        <v>56.134</v>
      </c>
      <c r="AH31" s="5">
        <v>62.320099999999996</v>
      </c>
      <c r="AJ31" s="5">
        <v>68.549499999999995</v>
      </c>
      <c r="AL31" s="5">
        <v>74.822599999999994</v>
      </c>
    </row>
    <row r="32" spans="2:39" x14ac:dyDescent="0.3">
      <c r="T32" s="6">
        <v>817.4</v>
      </c>
      <c r="V32" s="6">
        <v>817.4</v>
      </c>
      <c r="X32" s="6">
        <v>817.4</v>
      </c>
      <c r="Z32" s="6">
        <v>817.4</v>
      </c>
      <c r="AG32" s="5">
        <v>68.341800000000006</v>
      </c>
      <c r="AI32" s="5">
        <v>74.549499999999995</v>
      </c>
      <c r="AK32" s="5">
        <v>80.800799999999995</v>
      </c>
      <c r="AM32" s="5">
        <v>87.095799999999997</v>
      </c>
    </row>
    <row r="33" spans="21:39" x14ac:dyDescent="0.3">
      <c r="U33" s="6">
        <v>808.38</v>
      </c>
      <c r="W33" s="6">
        <v>808.38</v>
      </c>
      <c r="Y33" s="6">
        <v>808.38</v>
      </c>
      <c r="AH33" s="5">
        <v>80.459800000000001</v>
      </c>
      <c r="AJ33" s="5">
        <v>86.6892</v>
      </c>
      <c r="AL33" s="5">
        <v>92.962299999999999</v>
      </c>
    </row>
    <row r="34" spans="21:39" x14ac:dyDescent="0.3">
      <c r="V34" s="6">
        <v>799.46</v>
      </c>
      <c r="X34" s="6">
        <v>799.46</v>
      </c>
      <c r="Z34" s="6">
        <v>799.46</v>
      </c>
      <c r="AI34" s="5">
        <v>92.489099999999993</v>
      </c>
      <c r="AK34" s="5">
        <v>98.740300000000005</v>
      </c>
      <c r="AM34" s="5">
        <v>105.03530000000001</v>
      </c>
    </row>
    <row r="35" spans="21:39" x14ac:dyDescent="0.3">
      <c r="W35" s="6">
        <v>790.64</v>
      </c>
      <c r="Y35" s="6">
        <v>790.64</v>
      </c>
      <c r="AJ35" s="5">
        <v>104.4308</v>
      </c>
      <c r="AL35" s="5">
        <v>110.7039</v>
      </c>
    </row>
    <row r="36" spans="21:39" x14ac:dyDescent="0.3">
      <c r="X36" s="6">
        <v>781.92</v>
      </c>
      <c r="Z36" s="6">
        <v>781.92</v>
      </c>
      <c r="AK36" s="5">
        <v>116.2861</v>
      </c>
      <c r="AM36" s="5">
        <v>122.58110000000001</v>
      </c>
    </row>
    <row r="37" spans="21:39" x14ac:dyDescent="0.3">
      <c r="Y37" s="6">
        <v>773.29</v>
      </c>
      <c r="AL37" s="5">
        <v>128.05609999999999</v>
      </c>
    </row>
    <row r="38" spans="21:39" x14ac:dyDescent="0.3">
      <c r="Z38" s="6">
        <v>764.76</v>
      </c>
      <c r="AM38" s="5">
        <v>139.74189999999999</v>
      </c>
    </row>
  </sheetData>
  <mergeCells count="14">
    <mergeCell ref="K20:L20"/>
    <mergeCell ref="L6:L7"/>
    <mergeCell ref="K19:L19"/>
    <mergeCell ref="L12:L13"/>
    <mergeCell ref="K12:K13"/>
    <mergeCell ref="K10:K11"/>
    <mergeCell ref="L10:L11"/>
    <mergeCell ref="K16:K17"/>
    <mergeCell ref="L16:L17"/>
    <mergeCell ref="K8:K9"/>
    <mergeCell ref="L8:L9"/>
    <mergeCell ref="K6:K7"/>
    <mergeCell ref="K14:K15"/>
    <mergeCell ref="L14:L15"/>
  </mergeCells>
  <hyperlinks>
    <hyperlink ref="B6" r:id="rId1" display="https://www.slickcharts.com/symbol/AAPL" xr:uid="{DDE529EF-8652-44FA-A20A-BB88409CA7A2}"/>
    <hyperlink ref="B7" r:id="rId2" display="https://www.slickcharts.com/symbol/MSFT" xr:uid="{3639048E-5BBB-464C-B188-4B355BFB94A2}"/>
    <hyperlink ref="B8" r:id="rId3" display="https://www.slickcharts.com/symbol/AMZN" xr:uid="{725E1318-F3BA-45D1-A4CA-0E41FC759BD7}"/>
    <hyperlink ref="B9" r:id="rId4" display="https://www.slickcharts.com/symbol/GOOGL" xr:uid="{3DE811F8-C012-440A-B6F5-1F4D9FA5378F}"/>
    <hyperlink ref="B10" r:id="rId5" display="https://www.slickcharts.com/symbol/GOOG" xr:uid="{44538BFE-A707-475D-950C-4163E224D742}"/>
    <hyperlink ref="B11" r:id="rId6" display="https://www.slickcharts.com/symbol/META" xr:uid="{ACFC13E6-91E3-419A-9806-E5FE9D17F03C}"/>
    <hyperlink ref="B12" r:id="rId7" display="https://www.slickcharts.com/symbol/AVGO" xr:uid="{B6B5A4F6-2B24-4114-A518-C37126F79F8A}"/>
    <hyperlink ref="B13" r:id="rId8" display="https://www.slickcharts.com/symbol/TSLA" xr:uid="{41570D7A-AC13-4E1A-B0FE-97C863C9290F}"/>
    <hyperlink ref="B14" r:id="rId9" display="https://www.slickcharts.com/symbol/PLTR" xr:uid="{C68922A7-CE5C-477B-99F8-99812B94A4A0}"/>
    <hyperlink ref="B15" r:id="rId10" display="https://www.slickcharts.com/symbol/ASML" xr:uid="{4262ABD5-322A-40FE-8BB6-4E1ED04587E8}"/>
    <hyperlink ref="B16" r:id="rId11" display="https://www.slickcharts.com/symbol/NFLX" xr:uid="{C7AF3C3A-DA1B-46AA-9C7B-DD9830AD36C2}"/>
    <hyperlink ref="B17" r:id="rId12" display="https://www.slickcharts.com/symbol/COST" xr:uid="{39E6612C-4A4C-4F4C-B233-1C0C136DB63C}"/>
    <hyperlink ref="B18" r:id="rId13" display="https://www.slickcharts.com/symbol/AMD" xr:uid="{8B05DBE2-754E-4A22-B068-62DAC8C83FE2}"/>
    <hyperlink ref="B19" r:id="rId14" display="https://www.slickcharts.com/symbol/MU" xr:uid="{A5EEC28E-E702-4BF9-867B-AF0F0C2DA388}"/>
    <hyperlink ref="B20" r:id="rId15" display="https://www.slickcharts.com/symbol/CSCO" xr:uid="{9FB01615-027A-446D-A987-F156A2DDAE37}"/>
    <hyperlink ref="B21" r:id="rId16" display="https://www.slickcharts.com/symbol/AZN" xr:uid="{3B57A433-E67C-490D-845A-9229490F7765}"/>
    <hyperlink ref="B22" r:id="rId17" display="https://www.slickcharts.com/symbol/APP" xr:uid="{3FF64D10-02CC-47D1-8105-57186AD72939}"/>
    <hyperlink ref="B23" r:id="rId18" display="https://www.slickcharts.com/symbol/TMUS" xr:uid="{A192E121-0E93-446D-893A-6A1E16E449F6}"/>
    <hyperlink ref="B24" r:id="rId19" display="https://www.slickcharts.com/symbol/SHOP" xr:uid="{C7147B19-4E2D-4546-AD63-5A435433A07B}"/>
    <hyperlink ref="B5" r:id="rId20" display="https://www.slickcharts.com/symbol/NVDA" xr:uid="{E550CC16-61CE-4D71-816E-43AC4642842F}"/>
  </hyperlinks>
  <pageMargins left="0.7" right="0.7" top="0.75" bottom="0.75" header="0.3" footer="0.3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23" name="Spinner 2">
              <controlPr defaultSize="0" autoPict="0">
                <anchor moveWithCells="1" sizeWithCells="1">
                  <from>
                    <xdr:col>12</xdr:col>
                    <xdr:colOff>7620</xdr:colOff>
                    <xdr:row>5</xdr:row>
                    <xdr:rowOff>15240</xdr:rowOff>
                  </from>
                  <to>
                    <xdr:col>12</xdr:col>
                    <xdr:colOff>601980</xdr:colOff>
                    <xdr:row>7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24" name="Drop Down 1">
              <controlPr defaultSize="0" autoLine="0" autoPict="0">
                <anchor moveWithCells="1">
                  <from>
                    <xdr:col>11</xdr:col>
                    <xdr:colOff>0</xdr:colOff>
                    <xdr:row>2</xdr:row>
                    <xdr:rowOff>182880</xdr:rowOff>
                  </from>
                  <to>
                    <xdr:col>13</xdr:col>
                    <xdr:colOff>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25" name="Drop Down 8">
              <controlPr defaultSize="0" autoLine="0" autoPict="0">
                <anchor moveWithCells="1">
                  <from>
                    <xdr:col>11</xdr:col>
                    <xdr:colOff>0</xdr:colOff>
                    <xdr:row>1</xdr:row>
                    <xdr:rowOff>190500</xdr:rowOff>
                  </from>
                  <to>
                    <xdr:col>13</xdr:col>
                    <xdr:colOff>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26" name="Spinner 9">
              <controlPr defaultSize="0" autoPict="0">
                <anchor moveWithCells="1" sizeWithCells="1">
                  <from>
                    <xdr:col>11</xdr:col>
                    <xdr:colOff>693420</xdr:colOff>
                    <xdr:row>7</xdr:row>
                    <xdr:rowOff>15240</xdr:rowOff>
                  </from>
                  <to>
                    <xdr:col>13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27" name="Spinner 11">
              <controlPr defaultSize="0" autoPict="0">
                <anchor moveWithCells="1" sizeWithCells="1">
                  <from>
                    <xdr:col>12</xdr:col>
                    <xdr:colOff>0</xdr:colOff>
                    <xdr:row>9</xdr:row>
                    <xdr:rowOff>15240</xdr:rowOff>
                  </from>
                  <to>
                    <xdr:col>12</xdr:col>
                    <xdr:colOff>601980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28" name="Button 12">
              <controlPr defaultSize="0" print="0" autoFill="0" autoPict="0" macro="[0]!Sheet1.Calculate_option_price">
                <anchor moveWithCells="1" sizeWithCells="1">
                  <from>
                    <xdr:col>11</xdr:col>
                    <xdr:colOff>685800</xdr:colOff>
                    <xdr:row>18</xdr:row>
                    <xdr:rowOff>0</xdr:rowOff>
                  </from>
                  <to>
                    <xdr:col>13</xdr:col>
                    <xdr:colOff>15240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29" name="Drop Down 10">
              <controlPr defaultSize="0" autoLine="0" autoPict="0">
                <anchor moveWithCells="1">
                  <from>
                    <xdr:col>11</xdr:col>
                    <xdr:colOff>7620</xdr:colOff>
                    <xdr:row>3</xdr:row>
                    <xdr:rowOff>175260</xdr:rowOff>
                  </from>
                  <to>
                    <xdr:col>13</xdr:col>
                    <xdr:colOff>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7D5D8-D1F0-47BC-A590-08DEF3371E1A}">
  <sheetPr codeName="Sheet2"/>
  <dimension ref="A2:BM61"/>
  <sheetViews>
    <sheetView tabSelected="1" topLeftCell="V15" zoomScale="74" workbookViewId="0">
      <selection activeCell="X58" sqref="X58"/>
    </sheetView>
  </sheetViews>
  <sheetFormatPr defaultRowHeight="14.4" x14ac:dyDescent="0.3"/>
  <cols>
    <col min="1" max="3" width="10.88671875" hidden="1" customWidth="1"/>
    <col min="4" max="11" width="9.44140625" hidden="1" customWidth="1"/>
    <col min="12" max="12" width="10.88671875" hidden="1" customWidth="1"/>
    <col min="13" max="16" width="9.44140625" hidden="1" customWidth="1"/>
    <col min="17" max="18" width="8.33203125" hidden="1" customWidth="1"/>
    <col min="19" max="21" width="9.44140625" hidden="1" customWidth="1"/>
    <col min="22" max="22" width="8.6640625" customWidth="1"/>
    <col min="23" max="23" width="24.109375" bestFit="1" customWidth="1"/>
    <col min="24" max="24" width="19.33203125" bestFit="1" customWidth="1"/>
  </cols>
  <sheetData>
    <row r="2" spans="1:65" ht="15" thickBot="1" x14ac:dyDescent="0.35">
      <c r="B2" s="2">
        <f ca="1">TODAY()</f>
        <v>46027</v>
      </c>
      <c r="C2" s="2">
        <f ca="1">B2-31</f>
        <v>45996</v>
      </c>
    </row>
    <row r="3" spans="1:65" ht="16.2" thickBot="1" x14ac:dyDescent="0.35">
      <c r="B3" t="s">
        <v>10</v>
      </c>
      <c r="C3" t="s">
        <v>6</v>
      </c>
      <c r="D3" t="s">
        <v>13</v>
      </c>
      <c r="E3" t="s">
        <v>5</v>
      </c>
      <c r="F3" t="s">
        <v>3</v>
      </c>
      <c r="G3" t="s">
        <v>4</v>
      </c>
      <c r="H3" t="s">
        <v>18</v>
      </c>
      <c r="I3" t="s">
        <v>7</v>
      </c>
      <c r="J3" t="s">
        <v>21</v>
      </c>
      <c r="K3" t="s">
        <v>23</v>
      </c>
      <c r="L3" t="s">
        <v>25</v>
      </c>
      <c r="M3" t="s">
        <v>27</v>
      </c>
      <c r="N3" t="s">
        <v>29</v>
      </c>
      <c r="O3" t="s">
        <v>2</v>
      </c>
      <c r="P3" t="s">
        <v>32</v>
      </c>
      <c r="Q3" t="s">
        <v>34</v>
      </c>
      <c r="R3" t="s">
        <v>36</v>
      </c>
      <c r="S3" t="s">
        <v>38</v>
      </c>
      <c r="T3" t="s">
        <v>40</v>
      </c>
      <c r="U3" t="s">
        <v>42</v>
      </c>
      <c r="W3" s="29" t="s">
        <v>67</v>
      </c>
      <c r="X3" s="15" t="s">
        <v>10</v>
      </c>
      <c r="Y3" s="15" t="s">
        <v>6</v>
      </c>
      <c r="Z3" s="15" t="s">
        <v>13</v>
      </c>
      <c r="AA3" s="15" t="s">
        <v>5</v>
      </c>
      <c r="AB3" s="15" t="s">
        <v>3</v>
      </c>
      <c r="AC3" s="15" t="s">
        <v>4</v>
      </c>
      <c r="AD3" s="15" t="s">
        <v>18</v>
      </c>
      <c r="AE3" s="15" t="s">
        <v>7</v>
      </c>
      <c r="AF3" s="15" t="s">
        <v>21</v>
      </c>
      <c r="AG3" s="15" t="s">
        <v>23</v>
      </c>
      <c r="AH3" s="15" t="s">
        <v>25</v>
      </c>
      <c r="AI3" s="15" t="s">
        <v>27</v>
      </c>
      <c r="AJ3" s="15" t="s">
        <v>29</v>
      </c>
      <c r="AK3" s="15" t="s">
        <v>2</v>
      </c>
      <c r="AL3" s="15" t="s">
        <v>32</v>
      </c>
      <c r="AM3" s="15" t="s">
        <v>34</v>
      </c>
      <c r="AN3" s="15" t="s">
        <v>36</v>
      </c>
      <c r="AO3" s="15" t="s">
        <v>38</v>
      </c>
      <c r="AP3" s="15" t="s">
        <v>40</v>
      </c>
      <c r="AQ3" s="16" t="s">
        <v>42</v>
      </c>
      <c r="AS3" s="30" t="s">
        <v>66</v>
      </c>
      <c r="AT3" s="15" t="s">
        <v>10</v>
      </c>
      <c r="AU3" s="15" t="s">
        <v>6</v>
      </c>
      <c r="AV3" s="15" t="s">
        <v>13</v>
      </c>
      <c r="AW3" s="15" t="s">
        <v>5</v>
      </c>
      <c r="AX3" s="15" t="s">
        <v>3</v>
      </c>
      <c r="AY3" s="15" t="s">
        <v>4</v>
      </c>
      <c r="AZ3" s="15" t="s">
        <v>18</v>
      </c>
      <c r="BA3" s="15" t="s">
        <v>7</v>
      </c>
      <c r="BB3" s="15" t="s">
        <v>21</v>
      </c>
      <c r="BC3" s="15" t="s">
        <v>23</v>
      </c>
      <c r="BD3" s="15" t="s">
        <v>25</v>
      </c>
      <c r="BE3" s="15" t="s">
        <v>27</v>
      </c>
      <c r="BF3" s="15" t="s">
        <v>29</v>
      </c>
      <c r="BG3" s="15" t="s">
        <v>2</v>
      </c>
      <c r="BH3" s="15" t="s">
        <v>32</v>
      </c>
      <c r="BI3" s="15" t="s">
        <v>34</v>
      </c>
      <c r="BJ3" s="15" t="s">
        <v>36</v>
      </c>
      <c r="BK3" s="15" t="s">
        <v>38</v>
      </c>
      <c r="BL3" s="15" t="s">
        <v>40</v>
      </c>
      <c r="BM3" s="16" t="s">
        <v>42</v>
      </c>
    </row>
    <row r="4" spans="1:65" x14ac:dyDescent="0.3">
      <c r="A4" cm="1" vm="21">
        <f t="array" aca="1" ref="A4:B22" ca="1">_xlfn.STOCKHISTORY(B3,$C$2,$B$2,0,0,0,1)</f>
        <v>45996</v>
      </c>
      <c r="B4" vm="22">
        <f ca="1"/>
        <v>182.41</v>
      </c>
      <c r="C4" cm="1" vm="23">
        <f t="array" aca="1" ref="C4:C22" ca="1">_xlfn.STOCKHISTORY(C3,$C$2,$B$2,0,0,1)</f>
        <v>278.77999999999997</v>
      </c>
      <c r="D4" cm="1" vm="24">
        <f t="array" aca="1" ref="D4:D22" ca="1">_xlfn.STOCKHISTORY(D3,$C$2,$B$2,0,0,1)</f>
        <v>483.16</v>
      </c>
      <c r="E4" cm="1" vm="25">
        <f t="array" aca="1" ref="E4:E22" ca="1">_xlfn.STOCKHISTORY(E3,$C$2,$B$2,0,0,1)</f>
        <v>229.53</v>
      </c>
      <c r="F4" cm="1" vm="26">
        <f t="array" aca="1" ref="F4:F22" ca="1">_xlfn.STOCKHISTORY(F3,$C$2,$B$2,0,0,1)</f>
        <v>321.27</v>
      </c>
      <c r="G4" cm="1" vm="27">
        <f t="array" aca="1" ref="G4:G22" ca="1">_xlfn.STOCKHISTORY(G3,$C$2,$B$2,0,0,1)</f>
        <v>322.08999999999997</v>
      </c>
      <c r="H4" cm="1" vm="28">
        <f t="array" aca="1" ref="H4:H22" ca="1">_xlfn.STOCKHISTORY(H3,$C$2,$B$2,0,0,1)</f>
        <v>673.42</v>
      </c>
      <c r="I4" cm="1" vm="29">
        <f t="array" aca="1" ref="I4:I22" ca="1">_xlfn.STOCKHISTORY(I3,$C$2,$B$2,0,0,1)</f>
        <v>390.24</v>
      </c>
      <c r="J4" cm="1" vm="30">
        <f t="array" aca="1" ref="J4:J22" ca="1">_xlfn.STOCKHISTORY(J3,$C$2,$B$2,0,0,1)</f>
        <v>455</v>
      </c>
      <c r="K4" cm="1" vm="31">
        <f t="array" aca="1" ref="K4:K22" ca="1">_xlfn.STOCKHISTORY(K3,$C$2,$B$2,0,0,1)</f>
        <v>181.76</v>
      </c>
      <c r="L4" cm="1" vm="32">
        <f t="array" aca="1" ref="L4:L22" ca="1">_xlfn.STOCKHISTORY(L3,$C$2,$B$2,0,0,1)</f>
        <v>1099.47</v>
      </c>
      <c r="M4" cm="1" vm="33">
        <f t="array" aca="1" ref="M4:M22" ca="1">_xlfn.STOCKHISTORY(M3,$C$2,$B$2,0,0,1)</f>
        <v>100.24</v>
      </c>
      <c r="N4" cm="1" vm="34">
        <f t="array" aca="1" ref="N4:N22" ca="1">_xlfn.STOCKHISTORY(N3,$C$2,$B$2,0,0,1)</f>
        <v>894.68</v>
      </c>
      <c r="O4" cm="1" vm="35">
        <f t="array" aca="1" ref="O4:O22" ca="1">_xlfn.STOCKHISTORY(O3,$C$2,$B$2,0,0,1)</f>
        <v>217.97</v>
      </c>
      <c r="P4" cm="1" vm="36">
        <f t="array" aca="1" ref="P4:P22" ca="1">_xlfn.STOCKHISTORY(P3,$C$2,$B$2,0,0,1)</f>
        <v>237.22</v>
      </c>
      <c r="Q4" cm="1" vm="37">
        <f t="array" aca="1" ref="Q4:Q22" ca="1">_xlfn.STOCKHISTORY(Q3,$C$2,$B$2,0,0,1)</f>
        <v>77.97</v>
      </c>
      <c r="R4" cm="1" vm="38">
        <f t="array" aca="1" ref="R4:R22" ca="1">_xlfn.STOCKHISTORY(R3,$C$2,$B$2,0,0,1)</f>
        <v>90.18</v>
      </c>
      <c r="S4" cm="1" vm="39">
        <f t="array" aca="1" ref="S4:S22" ca="1">_xlfn.STOCKHISTORY(S3,$C$2,$B$2,0,0,1)</f>
        <v>691.94</v>
      </c>
      <c r="T4" cm="1" vm="40">
        <f t="array" aca="1" ref="T4:T22" ca="1">_xlfn.STOCKHISTORY(T3,$C$2,$B$2,0,0,1)</f>
        <v>209.63</v>
      </c>
      <c r="U4" cm="1" vm="41">
        <f t="array" aca="1" ref="U4:U22" ca="1">_xlfn.STOCKHISTORY(U3,$C$2,$B$2,0,0,1)</f>
        <v>161.08000000000001</v>
      </c>
      <c r="W4" s="7" vm="42">
        <f ca="1">A5</f>
        <v>45999</v>
      </c>
      <c r="X4" s="11">
        <f ca="1">LN(B5/B4)</f>
        <v>1.7067486807783531E-2</v>
      </c>
      <c r="Y4" s="11">
        <f ca="1">LN(C5/C4)</f>
        <v>-3.1975883676944017E-3</v>
      </c>
      <c r="Z4" s="11">
        <f ca="1">LN(D5/D4)</f>
        <v>1.6136998425424685E-2</v>
      </c>
      <c r="AA4" s="11">
        <f ca="1">LN(E5/E4)</f>
        <v>-1.1568421375822455E-2</v>
      </c>
      <c r="AB4" s="11">
        <f ca="1">LN(F5/F4)</f>
        <v>-2.3781022736427519E-2</v>
      </c>
      <c r="AC4" s="11">
        <f ca="1">LN(G5/G4)</f>
        <v>-2.4005928606769842E-2</v>
      </c>
      <c r="AD4" s="11">
        <f ca="1">LN(H5/H4)</f>
        <v>-9.8790554389980613E-3</v>
      </c>
      <c r="AE4" s="11">
        <f ca="1">LN(I5/I4)</f>
        <v>2.7448838308397016E-2</v>
      </c>
      <c r="AF4" s="11">
        <f ca="1">LN(J5/J4)</f>
        <v>-3.4477693361822714E-2</v>
      </c>
      <c r="AG4" s="11">
        <f ca="1">LN(K5/K4)</f>
        <v>-1.486579764477227E-3</v>
      </c>
      <c r="AH4" s="11">
        <f ca="1">LN(L5/L4)</f>
        <v>1.8223615769653485E-2</v>
      </c>
      <c r="AI4" s="11">
        <f ca="1">LN(M5/M4)</f>
        <v>-3.5023627426815494E-2</v>
      </c>
      <c r="AJ4" s="11">
        <f ca="1">LN(N5/N4)</f>
        <v>-8.0350561351450241E-3</v>
      </c>
      <c r="AK4" s="11">
        <f ca="1">LN(O5/O4)</f>
        <v>1.4302876603643384E-2</v>
      </c>
      <c r="AL4" s="11">
        <f ca="1">LN(P5/P4)</f>
        <v>4.0076416924565317E-2</v>
      </c>
      <c r="AM4" s="11">
        <f ca="1">LN(Q5/Q4)</f>
        <v>1.1349991127972652E-2</v>
      </c>
      <c r="AN4" s="11">
        <f ca="1">LN(R5/R4)</f>
        <v>1.2124032560882103E-2</v>
      </c>
      <c r="AO4" s="11">
        <f ca="1">LN(S5/S4)</f>
        <v>-3.1555356574196974E-3</v>
      </c>
      <c r="AP4" s="11">
        <f ca="1">LN(T5/T4)</f>
        <v>-2.5069538075712196E-2</v>
      </c>
      <c r="AQ4" s="12">
        <f ca="1">LN(U5/U4)</f>
        <v>-1.6714527282494243E-2</v>
      </c>
      <c r="AS4" s="31" t="s">
        <v>10</v>
      </c>
      <c r="AT4" s="21">
        <f ca="1">CORREL(
  INDEX($X$4:$AQ$21,,MATCH($AS4,$X$3:$AQ$3,0)),
  INDEX($X$4:$AQ$21,,MATCH(AT$3,$X$3:$AQ$3,0))
)</f>
        <v>1</v>
      </c>
      <c r="AU4" s="21">
        <f ca="1">CORREL(
  INDEX($X$4:$AQ$21,,MATCH($AS4,$X$3:$AQ$3,0)),
  INDEX($X$4:$AQ$21,,MATCH(AU$3,$X$3:$AQ$3,0))
)</f>
        <v>0.23982187338545433</v>
      </c>
      <c r="AV4" s="21">
        <f ca="1">CORREL(
  INDEX($X$4:$AQ$21,,MATCH($AS4,$X$3:$AQ$3,0)),
  INDEX($X$4:$AQ$21,,MATCH(AV$3,$X$3:$AQ$3,0))
)</f>
        <v>0.25615200731522447</v>
      </c>
      <c r="AW4" s="21">
        <f ca="1">CORREL(
  INDEX($X$4:$AQ$21,,MATCH($AS4,$X$3:$AQ$3,0)),
  INDEX($X$4:$AQ$21,,MATCH(AW$3,$X$3:$AQ$3,0))
)</f>
        <v>0.36002440013937942</v>
      </c>
      <c r="AX4" s="21">
        <f ca="1">CORREL(
  INDEX($X$4:$AQ$21,,MATCH($AS4,$X$3:$AQ$3,0)),
  INDEX($X$4:$AQ$21,,MATCH(AX$3,$X$3:$AQ$3,0))
)</f>
        <v>0.62968672665417791</v>
      </c>
      <c r="AY4" s="21">
        <f ca="1">CORREL(
  INDEX($X$4:$AQ$21,,MATCH($AS4,$X$3:$AQ$3,0)),
  INDEX($X$4:$AQ$21,,MATCH(AY$3,$X$3:$AQ$3,0))
)</f>
        <v>0.62898316804823451</v>
      </c>
      <c r="AZ4" s="21">
        <f ca="1">CORREL(
  INDEX($X$4:$AQ$21,,MATCH($AS4,$X$3:$AQ$3,0)),
  INDEX($X$4:$AQ$21,,MATCH(AZ$3,$X$3:$AQ$3,0))
)</f>
        <v>0.30465944410820256</v>
      </c>
      <c r="BA4" s="21">
        <f ca="1">CORREL(
  INDEX($X$4:$AQ$21,,MATCH($AS4,$X$3:$AQ$3,0)),
  INDEX($X$4:$AQ$21,,MATCH(BA$3,$X$3:$AQ$3,0))
)</f>
        <v>0.70202147026220452</v>
      </c>
      <c r="BB4" s="21">
        <f ca="1">CORREL(
  INDEX($X$4:$AQ$21,,MATCH($AS4,$X$3:$AQ$3,0)),
  INDEX($X$4:$AQ$21,,MATCH(BB$3,$X$3:$AQ$3,0))
)</f>
        <v>0.16912196950243055</v>
      </c>
      <c r="BC4" s="21">
        <f ca="1">CORREL(
  INDEX($X$4:$AQ$21,,MATCH($AS4,$X$3:$AQ$3,0)),
  INDEX($X$4:$AQ$21,,MATCH(BC$3,$X$3:$AQ$3,0))
)</f>
        <v>0.51601095043570366</v>
      </c>
      <c r="BD4" s="21">
        <f ca="1">CORREL(
  INDEX($X$4:$AQ$21,,MATCH($AS4,$X$3:$AQ$3,0)),
  INDEX($X$4:$AQ$21,,MATCH(BD$3,$X$3:$AQ$3,0))
)</f>
        <v>0.64405185177055935</v>
      </c>
      <c r="BE4" s="21">
        <f ca="1">CORREL(
  INDEX($X$4:$AQ$21,,MATCH($AS4,$X$3:$AQ$3,0)),
  INDEX($X$4:$AQ$21,,MATCH(BE$3,$X$3:$AQ$3,0))
)</f>
        <v>-0.22377278911884133</v>
      </c>
      <c r="BF4" s="21">
        <f ca="1">CORREL(
  INDEX($X$4:$AQ$21,,MATCH($AS4,$X$3:$AQ$3,0)),
  INDEX($X$4:$AQ$21,,MATCH(BF$3,$X$3:$AQ$3,0))
)</f>
        <v>-0.17939627573587202</v>
      </c>
      <c r="BG4" s="21">
        <f ca="1">CORREL(
  INDEX($X$4:$AQ$21,,MATCH($AS4,$X$3:$AQ$3,0)),
  INDEX($X$4:$AQ$21,,MATCH(BG$3,$X$3:$AQ$3,0))
)</f>
        <v>0.81095783431475876</v>
      </c>
      <c r="BH4" s="21">
        <f ca="1">CORREL(
  INDEX($X$4:$AQ$21,,MATCH($AS4,$X$3:$AQ$3,0)),
  INDEX($X$4:$AQ$21,,MATCH(BH$3,$X$3:$AQ$3,0))
)</f>
        <v>0.59557182027774191</v>
      </c>
      <c r="BI4" s="21">
        <f ca="1">CORREL(
  INDEX($X$4:$AQ$21,,MATCH($AS4,$X$3:$AQ$3,0)),
  INDEX($X$4:$AQ$21,,MATCH(BI$3,$X$3:$AQ$3,0))
)</f>
        <v>0.69289935038796546</v>
      </c>
      <c r="BJ4" s="21">
        <f ca="1">CORREL(
  INDEX($X$4:$AQ$21,,MATCH($AS4,$X$3:$AQ$3,0)),
  INDEX($X$4:$AQ$21,,MATCH(BJ$3,$X$3:$AQ$3,0))
)</f>
        <v>0.57035720450385241</v>
      </c>
      <c r="BK4" s="21">
        <f ca="1">CORREL(
  INDEX($X$4:$AQ$21,,MATCH($AS4,$X$3:$AQ$3,0)),
  INDEX($X$4:$AQ$21,,MATCH(BK$3,$X$3:$AQ$3,0))
)</f>
        <v>0.4181980549429779</v>
      </c>
      <c r="BL4" s="21">
        <f ca="1">CORREL(
  INDEX($X$4:$AQ$21,,MATCH($AS4,$X$3:$AQ$3,0)),
  INDEX($X$4:$AQ$21,,MATCH(BL$3,$X$3:$AQ$3,0))
)</f>
        <v>-0.19940498453415731</v>
      </c>
      <c r="BM4" s="22">
        <f ca="1">CORREL(
  INDEX($X$4:$AQ$21,,MATCH($AS4,$X$3:$AQ$3,0)),
  INDEX($X$4:$AQ$21,,MATCH(BM$3,$X$3:$AQ$3,0))
)</f>
        <v>0.21377999284379307</v>
      </c>
    </row>
    <row r="5" spans="1:65" x14ac:dyDescent="0.3">
      <c r="A5" vm="42">
        <f ca="1"/>
        <v>45999</v>
      </c>
      <c r="B5" vm="43">
        <f ca="1"/>
        <v>185.55</v>
      </c>
      <c r="C5" vm="44">
        <f ca="1"/>
        <v>277.89</v>
      </c>
      <c r="D5" vm="45">
        <f ca="1"/>
        <v>491.02</v>
      </c>
      <c r="E5" vm="46">
        <f ca="1"/>
        <v>226.89</v>
      </c>
      <c r="F5" vm="47">
        <f ca="1"/>
        <v>313.72000000000003</v>
      </c>
      <c r="G5" vm="48">
        <f ca="1"/>
        <v>314.45</v>
      </c>
      <c r="H5" vm="49">
        <f ca="1"/>
        <v>666.8</v>
      </c>
      <c r="I5" vm="50">
        <f ca="1"/>
        <v>401.1</v>
      </c>
      <c r="J5" vm="51">
        <f ca="1"/>
        <v>439.58</v>
      </c>
      <c r="K5" vm="52">
        <f ca="1"/>
        <v>181.49</v>
      </c>
      <c r="L5" vm="53">
        <f ca="1"/>
        <v>1119.69</v>
      </c>
      <c r="M5" vm="54">
        <f ca="1"/>
        <v>96.79</v>
      </c>
      <c r="N5" vm="55">
        <f ca="1"/>
        <v>887.52</v>
      </c>
      <c r="O5" vm="56">
        <f ca="1"/>
        <v>221.11</v>
      </c>
      <c r="P5" vm="57">
        <f ca="1"/>
        <v>246.92</v>
      </c>
      <c r="Q5" vm="58">
        <f ca="1"/>
        <v>78.86</v>
      </c>
      <c r="R5" vm="59">
        <f ca="1"/>
        <v>91.28</v>
      </c>
      <c r="S5" vm="60">
        <f ca="1"/>
        <v>689.76</v>
      </c>
      <c r="T5" vm="61">
        <f ca="1"/>
        <v>204.44</v>
      </c>
      <c r="U5" vm="62">
        <f ca="1"/>
        <v>158.41</v>
      </c>
      <c r="W5" s="7" vm="63">
        <f t="shared" ref="W5:W20" ca="1" si="0">A6</f>
        <v>46000</v>
      </c>
      <c r="X5" s="11">
        <f t="shared" ref="X5:X20" ca="1" si="1">LN(B6/B5)</f>
        <v>-3.1307377401490854E-3</v>
      </c>
      <c r="Y5" s="11">
        <f ca="1">LN(C6/C5)</f>
        <v>-2.5582372933893359E-3</v>
      </c>
      <c r="Z5" s="11">
        <f ca="1">LN(D6/D5)</f>
        <v>2.0345059101043159E-3</v>
      </c>
      <c r="AA5" s="11">
        <f ca="1">LN(E6/E5)</f>
        <v>4.5293716536051049E-3</v>
      </c>
      <c r="AB5" s="11">
        <f ca="1">LN(F6/F5)</f>
        <v>1.0653239624489172E-2</v>
      </c>
      <c r="AC5" s="11">
        <f ca="1">LN(G6/G5)</f>
        <v>1.0439829080051139E-2</v>
      </c>
      <c r="AD5" s="11">
        <f ca="1">LN(H6/H5)</f>
        <v>-1.4867017046070059E-2</v>
      </c>
      <c r="AE5" s="11">
        <f ca="1">LN(I6/I5)</f>
        <v>1.2856417559382577E-2</v>
      </c>
      <c r="AF5" s="11">
        <f ca="1">LN(J6/J5)</f>
        <v>1.2636506097017067E-2</v>
      </c>
      <c r="AG5" s="11">
        <f ca="1">LN(K6/K5)</f>
        <v>1.9266237759783757E-3</v>
      </c>
      <c r="AH5" s="11">
        <f ca="1">LN(L6/L5)</f>
        <v>-7.3953894220127854E-3</v>
      </c>
      <c r="AI5" s="11">
        <f ca="1">LN(M6/M5)</f>
        <v>-8.2687343212551451E-4</v>
      </c>
      <c r="AJ5" s="11">
        <f ca="1">LN(N6/N5)</f>
        <v>1.0360594633838304E-3</v>
      </c>
      <c r="AK5" s="11">
        <f ca="1">LN(O6/O5)</f>
        <v>2.3038882641147266E-3</v>
      </c>
      <c r="AL5" s="11">
        <f ca="1">LN(P6/P5)</f>
        <v>2.2029969304789468E-2</v>
      </c>
      <c r="AM5" s="11">
        <f ca="1">LN(Q6/Q5)</f>
        <v>8.2086714639110613E-3</v>
      </c>
      <c r="AN5" s="11">
        <f ca="1">LN(R6/R5)</f>
        <v>-1.6124037894228293E-2</v>
      </c>
      <c r="AO5" s="11">
        <f ca="1">LN(S6/S5)</f>
        <v>4.9303668516514403E-2</v>
      </c>
      <c r="AP5" s="11">
        <f ca="1">LN(T6/T5)</f>
        <v>-1.5229846602615709E-2</v>
      </c>
      <c r="AQ5" s="12">
        <f ca="1">LN(U6/U5)</f>
        <v>9.2994700965696279E-3</v>
      </c>
      <c r="AS5" s="31" t="s">
        <v>6</v>
      </c>
      <c r="AT5" s="21">
        <f ca="1">CORREL(
  INDEX($X$4:$AQ$21,,MATCH($AS5,$X$3:$AQ$3,0)),
  INDEX($X$4:$AQ$21,,MATCH(AT$3,$X$3:$AQ$3,0))
)</f>
        <v>0.23982187338545433</v>
      </c>
      <c r="AU5" s="21">
        <f ca="1">CORREL(
  INDEX($X$4:$AQ$21,,MATCH($AS5,$X$3:$AQ$3,0)),
  INDEX($X$4:$AQ$21,,MATCH(AU$3,$X$3:$AQ$3,0))
)</f>
        <v>1</v>
      </c>
      <c r="AV5" s="21">
        <f ca="1">CORREL(
  INDEX($X$4:$AQ$21,,MATCH($AS5,$X$3:$AQ$3,0)),
  INDEX($X$4:$AQ$21,,MATCH(AV$3,$X$3:$AQ$3,0))
)</f>
        <v>3.7461969836679529E-2</v>
      </c>
      <c r="AW5" s="21">
        <f ca="1">CORREL(
  INDEX($X$4:$AQ$21,,MATCH($AS5,$X$3:$AQ$3,0)),
  INDEX($X$4:$AQ$21,,MATCH(AW$3,$X$3:$AQ$3,0))
)</f>
        <v>0.49349515414455153</v>
      </c>
      <c r="AX5" s="21">
        <f ca="1">CORREL(
  INDEX($X$4:$AQ$21,,MATCH($AS5,$X$3:$AQ$3,0)),
  INDEX($X$4:$AQ$21,,MATCH(AX$3,$X$3:$AQ$3,0))
)</f>
        <v>0.41736986681970856</v>
      </c>
      <c r="AY5" s="21">
        <f ca="1">CORREL(
  INDEX($X$4:$AQ$21,,MATCH($AS5,$X$3:$AQ$3,0)),
  INDEX($X$4:$AQ$21,,MATCH(AY$3,$X$3:$AQ$3,0))
)</f>
        <v>0.42515141195593847</v>
      </c>
      <c r="AZ5" s="21">
        <f ca="1">CORREL(
  INDEX($X$4:$AQ$21,,MATCH($AS5,$X$3:$AQ$3,0)),
  INDEX($X$4:$AQ$21,,MATCH(AZ$3,$X$3:$AQ$3,0))
)</f>
        <v>4.5338939170803803E-2</v>
      </c>
      <c r="BA5" s="21">
        <f ca="1">CORREL(
  INDEX($X$4:$AQ$21,,MATCH($AS5,$X$3:$AQ$3,0)),
  INDEX($X$4:$AQ$21,,MATCH(BA$3,$X$3:$AQ$3,0))
)</f>
        <v>0.37813366396394982</v>
      </c>
      <c r="BB5" s="21">
        <f ca="1">CORREL(
  INDEX($X$4:$AQ$21,,MATCH($AS5,$X$3:$AQ$3,0)),
  INDEX($X$4:$AQ$21,,MATCH(BB$3,$X$3:$AQ$3,0))
)</f>
        <v>5.3498330067879164E-2</v>
      </c>
      <c r="BC5" s="21">
        <f ca="1">CORREL(
  INDEX($X$4:$AQ$21,,MATCH($AS5,$X$3:$AQ$3,0)),
  INDEX($X$4:$AQ$21,,MATCH(BC$3,$X$3:$AQ$3,0))
)</f>
        <v>0.44551356421826338</v>
      </c>
      <c r="BD5" s="21">
        <f ca="1">CORREL(
  INDEX($X$4:$AQ$21,,MATCH($AS5,$X$3:$AQ$3,0)),
  INDEX($X$4:$AQ$21,,MATCH(BD$3,$X$3:$AQ$3,0))
)</f>
        <v>0.14295909647754124</v>
      </c>
      <c r="BE5" s="21">
        <f ca="1">CORREL(
  INDEX($X$4:$AQ$21,,MATCH($AS5,$X$3:$AQ$3,0)),
  INDEX($X$4:$AQ$21,,MATCH(BE$3,$X$3:$AQ$3,0))
)</f>
        <v>9.6102009247624701E-2</v>
      </c>
      <c r="BF5" s="21">
        <f ca="1">CORREL(
  INDEX($X$4:$AQ$21,,MATCH($AS5,$X$3:$AQ$3,0)),
  INDEX($X$4:$AQ$21,,MATCH(BF$3,$X$3:$AQ$3,0))
)</f>
        <v>0.43616264672718308</v>
      </c>
      <c r="BG5" s="21">
        <f ca="1">CORREL(
  INDEX($X$4:$AQ$21,,MATCH($AS5,$X$3:$AQ$3,0)),
  INDEX($X$4:$AQ$21,,MATCH(BG$3,$X$3:$AQ$3,0))
)</f>
        <v>0.35322753953546238</v>
      </c>
      <c r="BH5" s="21">
        <f ca="1">CORREL(
  INDEX($X$4:$AQ$21,,MATCH($AS5,$X$3:$AQ$3,0)),
  INDEX($X$4:$AQ$21,,MATCH(BH$3,$X$3:$AQ$3,0))
)</f>
        <v>0.26049284405459938</v>
      </c>
      <c r="BI5" s="21">
        <f ca="1">CORREL(
  INDEX($X$4:$AQ$21,,MATCH($AS5,$X$3:$AQ$3,0)),
  INDEX($X$4:$AQ$21,,MATCH(BI$3,$X$3:$AQ$3,0))
)</f>
        <v>0.2703491527815568</v>
      </c>
      <c r="BJ5" s="21">
        <f ca="1">CORREL(
  INDEX($X$4:$AQ$21,,MATCH($AS5,$X$3:$AQ$3,0)),
  INDEX($X$4:$AQ$21,,MATCH(BJ$3,$X$3:$AQ$3,0))
)</f>
        <v>0.14818259556117655</v>
      </c>
      <c r="BK5" s="21">
        <f ca="1">CORREL(
  INDEX($X$4:$AQ$21,,MATCH($AS5,$X$3:$AQ$3,0)),
  INDEX($X$4:$AQ$21,,MATCH(BK$3,$X$3:$AQ$3,0))
)</f>
        <v>3.3390373914298652E-2</v>
      </c>
      <c r="BL5" s="21">
        <f ca="1">CORREL(
  INDEX($X$4:$AQ$21,,MATCH($AS5,$X$3:$AQ$3,0)),
  INDEX($X$4:$AQ$21,,MATCH(BL$3,$X$3:$AQ$3,0))
)</f>
        <v>-0.12458858130740076</v>
      </c>
      <c r="BM5" s="22">
        <f ca="1">CORREL(
  INDEX($X$4:$AQ$21,,MATCH($AS5,$X$3:$AQ$3,0)),
  INDEX($X$4:$AQ$21,,MATCH(BM$3,$X$3:$AQ$3,0))
)</f>
        <v>0.55408551939603568</v>
      </c>
    </row>
    <row r="6" spans="1:65" x14ac:dyDescent="0.3">
      <c r="A6" vm="63">
        <f ca="1"/>
        <v>46000</v>
      </c>
      <c r="B6" vm="64">
        <f ca="1"/>
        <v>184.97</v>
      </c>
      <c r="C6" vm="65">
        <f ca="1"/>
        <v>277.18</v>
      </c>
      <c r="D6" vm="66">
        <f ca="1"/>
        <v>492.02</v>
      </c>
      <c r="E6" vm="67">
        <f ca="1"/>
        <v>227.92</v>
      </c>
      <c r="F6" vm="68">
        <f ca="1"/>
        <v>317.08</v>
      </c>
      <c r="G6" vm="69">
        <f ca="1"/>
        <v>317.75</v>
      </c>
      <c r="H6" vm="70">
        <f ca="1"/>
        <v>656.96</v>
      </c>
      <c r="I6" vm="71">
        <f ca="1"/>
        <v>406.29</v>
      </c>
      <c r="J6" vm="72">
        <f ca="1"/>
        <v>445.17</v>
      </c>
      <c r="K6" vm="73">
        <f ca="1"/>
        <v>181.84</v>
      </c>
      <c r="L6" vm="74">
        <f ca="1"/>
        <v>1111.44</v>
      </c>
      <c r="M6" vm="75">
        <f ca="1"/>
        <v>96.71</v>
      </c>
      <c r="N6" vm="76">
        <f ca="1"/>
        <v>888.44</v>
      </c>
      <c r="O6" vm="77">
        <f ca="1"/>
        <v>221.62</v>
      </c>
      <c r="P6" vm="78">
        <f ca="1"/>
        <v>252.42</v>
      </c>
      <c r="Q6" vm="79">
        <f ca="1"/>
        <v>79.510000000000005</v>
      </c>
      <c r="R6" vm="80">
        <f ca="1"/>
        <v>89.82</v>
      </c>
      <c r="S6" vm="81">
        <f ca="1"/>
        <v>724.62</v>
      </c>
      <c r="T6" vm="82">
        <f ca="1"/>
        <v>201.35</v>
      </c>
      <c r="U6" vm="83">
        <f ca="1"/>
        <v>159.88999999999999</v>
      </c>
      <c r="W6" s="7" vm="84">
        <f t="shared" ca="1" si="0"/>
        <v>46001</v>
      </c>
      <c r="X6" s="11">
        <f t="shared" ca="1" si="1"/>
        <v>-6.4542596937187469E-3</v>
      </c>
      <c r="Y6" s="11">
        <f ca="1">LN(C7/C6)</f>
        <v>5.7558256610836991E-3</v>
      </c>
      <c r="Z6" s="11">
        <f ca="1">LN(D7/D6)</f>
        <v>-2.7737771190968898E-2</v>
      </c>
      <c r="AA6" s="11">
        <f ca="1">LN(E7/E6)</f>
        <v>1.6793955716592184E-2</v>
      </c>
      <c r="AB6" s="11">
        <f ca="1">LN(F7/F6)</f>
        <v>9.8229225869471987E-3</v>
      </c>
      <c r="AC6" s="11">
        <f ca="1">LN(G7/G6)</f>
        <v>1.0176213060452457E-2</v>
      </c>
      <c r="AD6" s="11">
        <f ca="1">LN(H7/H6)</f>
        <v>-1.0450790938219707E-2</v>
      </c>
      <c r="AE6" s="11">
        <f ca="1">LN(I7/I6)</f>
        <v>1.6307760762105217E-2</v>
      </c>
      <c r="AF6" s="11">
        <f ca="1">LN(J7/J6)</f>
        <v>1.4008393067343273E-2</v>
      </c>
      <c r="AG6" s="11">
        <f ca="1">LN(K7/K6)</f>
        <v>3.2835945256773323E-2</v>
      </c>
      <c r="AH6" s="11">
        <f ca="1">LN(L7/L6)</f>
        <v>7.0648862055304636E-3</v>
      </c>
      <c r="AI6" s="11">
        <f ca="1">LN(M7/M6)</f>
        <v>-4.2240468109980819E-2</v>
      </c>
      <c r="AJ6" s="11">
        <f ca="1">LN(N7/N6)</f>
        <v>-1.5917742559834011E-2</v>
      </c>
      <c r="AK6" s="11">
        <f ca="1">LN(O7/O6)</f>
        <v>-9.0285307685867503E-4</v>
      </c>
      <c r="AL6" s="11">
        <f ca="1">LN(P7/P6)</f>
        <v>4.3755647690665304E-2</v>
      </c>
      <c r="AM6" s="11">
        <f ca="1">LN(Q7/Q6)</f>
        <v>9.2639620967331707E-3</v>
      </c>
      <c r="AN6" s="11">
        <f ca="1">LN(R7/R6)</f>
        <v>1.8640588267694994E-2</v>
      </c>
      <c r="AO6" s="11">
        <f ca="1">LN(S7/S6)</f>
        <v>-2.9892273972415812E-2</v>
      </c>
      <c r="AP6" s="11">
        <f ca="1">LN(T7/T6)</f>
        <v>-3.0405448104003696E-2</v>
      </c>
      <c r="AQ6" s="12">
        <f ca="1">LN(U7/U6)</f>
        <v>5.197478080451718E-2</v>
      </c>
      <c r="AS6" s="31" t="s">
        <v>13</v>
      </c>
      <c r="AT6" s="21">
        <f ca="1">CORREL(
  INDEX($X$4:$AQ$21,,MATCH($AS6,$X$3:$AQ$3,0)),
  INDEX($X$4:$AQ$21,,MATCH(AT$3,$X$3:$AQ$3,0))
)</f>
        <v>0.25615200731522447</v>
      </c>
      <c r="AU6" s="21">
        <f ca="1">CORREL(
  INDEX($X$4:$AQ$21,,MATCH($AS6,$X$3:$AQ$3,0)),
  INDEX($X$4:$AQ$21,,MATCH(AU$3,$X$3:$AQ$3,0))
)</f>
        <v>3.7461969836679529E-2</v>
      </c>
      <c r="AV6" s="21">
        <f ca="1">CORREL(
  INDEX($X$4:$AQ$21,,MATCH($AS6,$X$3:$AQ$3,0)),
  INDEX($X$4:$AQ$21,,MATCH(AV$3,$X$3:$AQ$3,0))
)</f>
        <v>0.99999999999999989</v>
      </c>
      <c r="AW6" s="21">
        <f ca="1">CORREL(
  INDEX($X$4:$AQ$21,,MATCH($AS6,$X$3:$AQ$3,0)),
  INDEX($X$4:$AQ$21,,MATCH(AW$3,$X$3:$AQ$3,0))
)</f>
        <v>0.23766656450880749</v>
      </c>
      <c r="AX6" s="21">
        <f ca="1">CORREL(
  INDEX($X$4:$AQ$21,,MATCH($AS6,$X$3:$AQ$3,0)),
  INDEX($X$4:$AQ$21,,MATCH(AX$3,$X$3:$AQ$3,0))
)</f>
        <v>-0.17842231843513612</v>
      </c>
      <c r="AY6" s="21">
        <f ca="1">CORREL(
  INDEX($X$4:$AQ$21,,MATCH($AS6,$X$3:$AQ$3,0)),
  INDEX($X$4:$AQ$21,,MATCH(AY$3,$X$3:$AQ$3,0))
)</f>
        <v>-0.16552632720089483</v>
      </c>
      <c r="AZ6" s="21">
        <f ca="1">CORREL(
  INDEX($X$4:$AQ$21,,MATCH($AS6,$X$3:$AQ$3,0)),
  INDEX($X$4:$AQ$21,,MATCH(AZ$3,$X$3:$AQ$3,0))
)</f>
        <v>0.48517734431992116</v>
      </c>
      <c r="BA6" s="21">
        <f ca="1">CORREL(
  INDEX($X$4:$AQ$21,,MATCH($AS6,$X$3:$AQ$3,0)),
  INDEX($X$4:$AQ$21,,MATCH(BA$3,$X$3:$AQ$3,0))
)</f>
        <v>0.26409223453945446</v>
      </c>
      <c r="BB6" s="21">
        <f ca="1">CORREL(
  INDEX($X$4:$AQ$21,,MATCH($AS6,$X$3:$AQ$3,0)),
  INDEX($X$4:$AQ$21,,MATCH(BB$3,$X$3:$AQ$3,0))
)</f>
        <v>-6.1410829436655621E-2</v>
      </c>
      <c r="BC6" s="21">
        <f ca="1">CORREL(
  INDEX($X$4:$AQ$21,,MATCH($AS6,$X$3:$AQ$3,0)),
  INDEX($X$4:$AQ$21,,MATCH(BC$3,$X$3:$AQ$3,0))
)</f>
        <v>0.30096245103009828</v>
      </c>
      <c r="BD6" s="21">
        <f ca="1">CORREL(
  INDEX($X$4:$AQ$21,,MATCH($AS6,$X$3:$AQ$3,0)),
  INDEX($X$4:$AQ$21,,MATCH(BD$3,$X$3:$AQ$3,0))
)</f>
        <v>-0.16802373588744446</v>
      </c>
      <c r="BE6" s="21">
        <f ca="1">CORREL(
  INDEX($X$4:$AQ$21,,MATCH($AS6,$X$3:$AQ$3,0)),
  INDEX($X$4:$AQ$21,,MATCH(BE$3,$X$3:$AQ$3,0))
)</f>
        <v>0.40558067494817429</v>
      </c>
      <c r="BF6" s="21">
        <f ca="1">CORREL(
  INDEX($X$4:$AQ$21,,MATCH($AS6,$X$3:$AQ$3,0)),
  INDEX($X$4:$AQ$21,,MATCH(BF$3,$X$3:$AQ$3,0))
)</f>
        <v>0.41415280351826678</v>
      </c>
      <c r="BG6" s="21">
        <f ca="1">CORREL(
  INDEX($X$4:$AQ$21,,MATCH($AS6,$X$3:$AQ$3,0)),
  INDEX($X$4:$AQ$21,,MATCH(BG$3,$X$3:$AQ$3,0))
)</f>
        <v>0.10562764148631824</v>
      </c>
      <c r="BH6" s="21">
        <f ca="1">CORREL(
  INDEX($X$4:$AQ$21,,MATCH($AS6,$X$3:$AQ$3,0)),
  INDEX($X$4:$AQ$21,,MATCH(BH$3,$X$3:$AQ$3,0))
)</f>
        <v>2.0504744993427432E-2</v>
      </c>
      <c r="BI6" s="21">
        <f ca="1">CORREL(
  INDEX($X$4:$AQ$21,,MATCH($AS6,$X$3:$AQ$3,0)),
  INDEX($X$4:$AQ$21,,MATCH(BI$3,$X$3:$AQ$3,0))
)</f>
        <v>0.25146245678997287</v>
      </c>
      <c r="BJ6" s="21">
        <f ca="1">CORREL(
  INDEX($X$4:$AQ$21,,MATCH($AS6,$X$3:$AQ$3,0)),
  INDEX($X$4:$AQ$21,,MATCH(BJ$3,$X$3:$AQ$3,0))
)</f>
        <v>-0.11381029461360326</v>
      </c>
      <c r="BK6" s="21">
        <f ca="1">CORREL(
  INDEX($X$4:$AQ$21,,MATCH($AS6,$X$3:$AQ$3,0)),
  INDEX($X$4:$AQ$21,,MATCH(BK$3,$X$3:$AQ$3,0))
)</f>
        <v>0.68660902969894622</v>
      </c>
      <c r="BL6" s="21">
        <f ca="1">CORREL(
  INDEX($X$4:$AQ$21,,MATCH($AS6,$X$3:$AQ$3,0)),
  INDEX($X$4:$AQ$21,,MATCH(BL$3,$X$3:$AQ$3,0))
)</f>
        <v>0.32597159579623769</v>
      </c>
      <c r="BM6" s="22">
        <f ca="1">CORREL(
  INDEX($X$4:$AQ$21,,MATCH($AS6,$X$3:$AQ$3,0)),
  INDEX($X$4:$AQ$21,,MATCH(BM$3,$X$3:$AQ$3,0))
)</f>
        <v>-9.8013615179303376E-2</v>
      </c>
    </row>
    <row r="7" spans="1:65" x14ac:dyDescent="0.3">
      <c r="A7" vm="84">
        <f ca="1"/>
        <v>46001</v>
      </c>
      <c r="B7" vm="85">
        <f ca="1"/>
        <v>183.78</v>
      </c>
      <c r="C7" vm="23">
        <f ca="1"/>
        <v>278.77999999999997</v>
      </c>
      <c r="D7" vm="86">
        <f ca="1"/>
        <v>478.56</v>
      </c>
      <c r="E7" vm="87">
        <f ca="1"/>
        <v>231.78</v>
      </c>
      <c r="F7" vm="88">
        <f ca="1"/>
        <v>320.20999999999998</v>
      </c>
      <c r="G7" vm="89">
        <f ca="1"/>
        <v>321</v>
      </c>
      <c r="H7" vm="90">
        <f ca="1"/>
        <v>650.13</v>
      </c>
      <c r="I7" vm="91">
        <f ca="1"/>
        <v>412.97</v>
      </c>
      <c r="J7" vm="92">
        <f ca="1"/>
        <v>451.45</v>
      </c>
      <c r="K7" vm="93">
        <f ca="1"/>
        <v>187.91</v>
      </c>
      <c r="L7" vm="94">
        <f ca="1"/>
        <v>1119.32</v>
      </c>
      <c r="M7" vm="95">
        <f ca="1"/>
        <v>92.71</v>
      </c>
      <c r="N7" vm="96">
        <f ca="1"/>
        <v>874.41</v>
      </c>
      <c r="O7" vm="97">
        <f ca="1"/>
        <v>221.42</v>
      </c>
      <c r="P7" vm="98">
        <f ca="1"/>
        <v>263.70999999999998</v>
      </c>
      <c r="Q7" vm="99">
        <f ca="1"/>
        <v>80.25</v>
      </c>
      <c r="R7" vm="100">
        <f ca="1"/>
        <v>91.51</v>
      </c>
      <c r="S7" vm="101">
        <f ca="1"/>
        <v>703.28</v>
      </c>
      <c r="T7" vm="102">
        <f ca="1"/>
        <v>195.32</v>
      </c>
      <c r="U7" vm="103">
        <f ca="1"/>
        <v>168.42</v>
      </c>
      <c r="W7" s="7" vm="104">
        <f t="shared" ca="1" si="0"/>
        <v>46002</v>
      </c>
      <c r="X7" s="11">
        <f t="shared" ca="1" si="1"/>
        <v>-1.5629173941733798E-2</v>
      </c>
      <c r="Y7" s="11">
        <f ca="1">LN(C8/C7)</f>
        <v>-2.6939187642996787E-3</v>
      </c>
      <c r="Z7" s="11">
        <f ca="1">LN(D8/D7)</f>
        <v>1.0207670516877522E-2</v>
      </c>
      <c r="AA7" s="11">
        <f ca="1">LN(E8/E7)</f>
        <v>-6.4926860986361159E-3</v>
      </c>
      <c r="AB7" s="11">
        <f ca="1">LN(F8/F7)</f>
        <v>-2.4596586471193286E-2</v>
      </c>
      <c r="AC7" s="11">
        <f ca="1">LN(G8/G7)</f>
        <v>-2.3004007933383412E-2</v>
      </c>
      <c r="AD7" s="11">
        <f ca="1">LN(H8/H7)</f>
        <v>3.9605836058718043E-3</v>
      </c>
      <c r="AE7" s="11">
        <f ca="1">LN(I8/I7)</f>
        <v>-1.6110876455609453E-2</v>
      </c>
      <c r="AF7" s="11">
        <f ca="1">LN(J8/J7)</f>
        <v>-1.0152145434989745E-2</v>
      </c>
      <c r="AG7" s="11">
        <f ca="1">LN(K8/K7)</f>
        <v>-1.9709688095821635E-3</v>
      </c>
      <c r="AH7" s="11">
        <f ca="1">LN(L8/L7)</f>
        <v>3.1398320296850859E-3</v>
      </c>
      <c r="AI7" s="11">
        <f ca="1">LN(M8/M7)</f>
        <v>1.4775429399783317E-2</v>
      </c>
      <c r="AJ7" s="11">
        <f ca="1">LN(N8/N7)</f>
        <v>1.1450528488721514E-2</v>
      </c>
      <c r="AK7" s="11">
        <f ca="1">LN(O8/O7)</f>
        <v>4.516201875006354E-5</v>
      </c>
      <c r="AL7" s="11">
        <f ca="1">LN(P8/P7)</f>
        <v>-2.0109071424104587E-2</v>
      </c>
      <c r="AM7" s="11">
        <f ca="1">LN(Q8/Q7)</f>
        <v>-1.2287015161060824E-2</v>
      </c>
      <c r="AN7" s="11">
        <f ca="1">LN(R8/R7)</f>
        <v>-1.3421543607899024E-2</v>
      </c>
      <c r="AO7" s="11">
        <f ca="1">LN(S8/S7)</f>
        <v>1.9292840664862917E-2</v>
      </c>
      <c r="AP7" s="11">
        <f ca="1">LN(T8/T7)</f>
        <v>5.119672342105955E-5</v>
      </c>
      <c r="AQ7" s="12">
        <f ca="1">LN(U8/U7)</f>
        <v>-2.2031686219229494E-2</v>
      </c>
      <c r="AS7" s="31" t="s">
        <v>5</v>
      </c>
      <c r="AT7" s="21">
        <f ca="1">CORREL(
  INDEX($X$4:$AQ$21,,MATCH($AS7,$X$3:$AQ$3,0)),
  INDEX($X$4:$AQ$21,,MATCH(AT$3,$X$3:$AQ$3,0))
)</f>
        <v>0.36002440013937942</v>
      </c>
      <c r="AU7" s="21">
        <f ca="1">CORREL(
  INDEX($X$4:$AQ$21,,MATCH($AS7,$X$3:$AQ$3,0)),
  INDEX($X$4:$AQ$21,,MATCH(AU$3,$X$3:$AQ$3,0))
)</f>
        <v>0.49349515414455153</v>
      </c>
      <c r="AV7" s="21">
        <f ca="1">CORREL(
  INDEX($X$4:$AQ$21,,MATCH($AS7,$X$3:$AQ$3,0)),
  INDEX($X$4:$AQ$21,,MATCH(AV$3,$X$3:$AQ$3,0))
)</f>
        <v>0.23766656450880749</v>
      </c>
      <c r="AW7" s="21">
        <f ca="1">CORREL(
  INDEX($X$4:$AQ$21,,MATCH($AS7,$X$3:$AQ$3,0)),
  INDEX($X$4:$AQ$21,,MATCH(AW$3,$X$3:$AQ$3,0))
)</f>
        <v>1</v>
      </c>
      <c r="AX7" s="21">
        <f ca="1">CORREL(
  INDEX($X$4:$AQ$21,,MATCH($AS7,$X$3:$AQ$3,0)),
  INDEX($X$4:$AQ$21,,MATCH(AX$3,$X$3:$AQ$3,0))
)</f>
        <v>0.59771041358418953</v>
      </c>
      <c r="AY7" s="21">
        <f ca="1">CORREL(
  INDEX($X$4:$AQ$21,,MATCH($AS7,$X$3:$AQ$3,0)),
  INDEX($X$4:$AQ$21,,MATCH(AY$3,$X$3:$AQ$3,0))
)</f>
        <v>0.61852090149257943</v>
      </c>
      <c r="AZ7" s="21">
        <f ca="1">CORREL(
  INDEX($X$4:$AQ$21,,MATCH($AS7,$X$3:$AQ$3,0)),
  INDEX($X$4:$AQ$21,,MATCH(AZ$3,$X$3:$AQ$3,0))
)</f>
        <v>0.47373861469155171</v>
      </c>
      <c r="BA7" s="21">
        <f ca="1">CORREL(
  INDEX($X$4:$AQ$21,,MATCH($AS7,$X$3:$AQ$3,0)),
  INDEX($X$4:$AQ$21,,MATCH(BA$3,$X$3:$AQ$3,0))
)</f>
        <v>0.56654805389902663</v>
      </c>
      <c r="BB7" s="21">
        <f ca="1">CORREL(
  INDEX($X$4:$AQ$21,,MATCH($AS7,$X$3:$AQ$3,0)),
  INDEX($X$4:$AQ$21,,MATCH(BB$3,$X$3:$AQ$3,0))
)</f>
        <v>0.26770147478945849</v>
      </c>
      <c r="BC7" s="21">
        <f ca="1">CORREL(
  INDEX($X$4:$AQ$21,,MATCH($AS7,$X$3:$AQ$3,0)),
  INDEX($X$4:$AQ$21,,MATCH(BC$3,$X$3:$AQ$3,0))
)</f>
        <v>0.64266778273697811</v>
      </c>
      <c r="BD7" s="21">
        <f ca="1">CORREL(
  INDEX($X$4:$AQ$21,,MATCH($AS7,$X$3:$AQ$3,0)),
  INDEX($X$4:$AQ$21,,MATCH(BD$3,$X$3:$AQ$3,0))
)</f>
        <v>-1.8863930348386206E-2</v>
      </c>
      <c r="BE7" s="21">
        <f ca="1">CORREL(
  INDEX($X$4:$AQ$21,,MATCH($AS7,$X$3:$AQ$3,0)),
  INDEX($X$4:$AQ$21,,MATCH(BE$3,$X$3:$AQ$3,0))
)</f>
        <v>-2.5994279500358354E-2</v>
      </c>
      <c r="BF7" s="21">
        <f ca="1">CORREL(
  INDEX($X$4:$AQ$21,,MATCH($AS7,$X$3:$AQ$3,0)),
  INDEX($X$4:$AQ$21,,MATCH(BF$3,$X$3:$AQ$3,0))
)</f>
        <v>0.14254119636486748</v>
      </c>
      <c r="BG7" s="21">
        <f ca="1">CORREL(
  INDEX($X$4:$AQ$21,,MATCH($AS7,$X$3:$AQ$3,0)),
  INDEX($X$4:$AQ$21,,MATCH(BG$3,$X$3:$AQ$3,0))
)</f>
        <v>0.20399932585734673</v>
      </c>
      <c r="BH7" s="21">
        <f ca="1">CORREL(
  INDEX($X$4:$AQ$21,,MATCH($AS7,$X$3:$AQ$3,0)),
  INDEX($X$4:$AQ$21,,MATCH(BH$3,$X$3:$AQ$3,0))
)</f>
        <v>0.36625604240068854</v>
      </c>
      <c r="BI7" s="21">
        <f ca="1">CORREL(
  INDEX($X$4:$AQ$21,,MATCH($AS7,$X$3:$AQ$3,0)),
  INDEX($X$4:$AQ$21,,MATCH(BI$3,$X$3:$AQ$3,0))
)</f>
        <v>0.48748322065497945</v>
      </c>
      <c r="BJ7" s="21">
        <f ca="1">CORREL(
  INDEX($X$4:$AQ$21,,MATCH($AS7,$X$3:$AQ$3,0)),
  INDEX($X$4:$AQ$21,,MATCH(BJ$3,$X$3:$AQ$3,0))
)</f>
        <v>0.25828453943095031</v>
      </c>
      <c r="BK7" s="21">
        <f ca="1">CORREL(
  INDEX($X$4:$AQ$21,,MATCH($AS7,$X$3:$AQ$3,0)),
  INDEX($X$4:$AQ$21,,MATCH(BK$3,$X$3:$AQ$3,0))
)</f>
        <v>0.55763733130748649</v>
      </c>
      <c r="BL7" s="21">
        <f ca="1">CORREL(
  INDEX($X$4:$AQ$21,,MATCH($AS7,$X$3:$AQ$3,0)),
  INDEX($X$4:$AQ$21,,MATCH(BL$3,$X$3:$AQ$3,0))
)</f>
        <v>4.3462141168420017E-2</v>
      </c>
      <c r="BM7" s="22">
        <f ca="1">CORREL(
  INDEX($X$4:$AQ$21,,MATCH($AS7,$X$3:$AQ$3,0)),
  INDEX($X$4:$AQ$21,,MATCH(BM$3,$X$3:$AQ$3,0))
)</f>
        <v>0.72406578644930908</v>
      </c>
    </row>
    <row r="8" spans="1:65" x14ac:dyDescent="0.3">
      <c r="A8" vm="104">
        <f ca="1"/>
        <v>46002</v>
      </c>
      <c r="B8" vm="105">
        <f ca="1"/>
        <v>180.93</v>
      </c>
      <c r="C8" vm="106">
        <f ca="1"/>
        <v>278.02999999999997</v>
      </c>
      <c r="D8" vm="107">
        <f ca="1"/>
        <v>483.47</v>
      </c>
      <c r="E8" vm="108">
        <f ca="1"/>
        <v>230.28</v>
      </c>
      <c r="F8" vm="109">
        <f ca="1"/>
        <v>312.43</v>
      </c>
      <c r="G8" vm="110">
        <f ca="1"/>
        <v>313.7</v>
      </c>
      <c r="H8" vm="111">
        <f ca="1"/>
        <v>652.71</v>
      </c>
      <c r="I8" vm="112">
        <f ca="1"/>
        <v>406.37</v>
      </c>
      <c r="J8" vm="113">
        <f ca="1"/>
        <v>446.89</v>
      </c>
      <c r="K8" vm="114">
        <f ca="1"/>
        <v>187.54</v>
      </c>
      <c r="L8" vm="115">
        <f ca="1"/>
        <v>1122.8399999999999</v>
      </c>
      <c r="M8" vm="116">
        <f ca="1"/>
        <v>94.09</v>
      </c>
      <c r="N8" vm="117">
        <f ca="1"/>
        <v>884.48</v>
      </c>
      <c r="O8" vm="118">
        <f ca="1"/>
        <v>221.43</v>
      </c>
      <c r="P8" vm="119">
        <f ca="1"/>
        <v>258.45999999999998</v>
      </c>
      <c r="Q8" vm="120">
        <f ca="1"/>
        <v>79.27</v>
      </c>
      <c r="R8" vm="121">
        <f ca="1"/>
        <v>90.29</v>
      </c>
      <c r="S8" vm="122">
        <f ca="1"/>
        <v>716.98</v>
      </c>
      <c r="T8" vm="123">
        <f ca="1"/>
        <v>195.33</v>
      </c>
      <c r="U8" vm="124">
        <f ca="1"/>
        <v>164.75</v>
      </c>
      <c r="W8" s="7" vm="125">
        <f t="shared" ca="1" si="0"/>
        <v>46003</v>
      </c>
      <c r="X8" s="11">
        <f t="shared" ca="1" si="1"/>
        <v>-3.3209963023319987E-2</v>
      </c>
      <c r="Y8" s="11">
        <f ca="1">LN(C9/C8)</f>
        <v>8.9877951799999299E-4</v>
      </c>
      <c r="Z8" s="11">
        <f ca="1">LN(D9/D8)</f>
        <v>-1.0270360546049068E-2</v>
      </c>
      <c r="AA8" s="11">
        <f ca="1">LN(E9/E8)</f>
        <v>-1.7920605767718902E-2</v>
      </c>
      <c r="AB8" s="11">
        <f ca="1">LN(F9/F8)</f>
        <v>-1.0101095986503821E-2</v>
      </c>
      <c r="AC8" s="11">
        <f ca="1">LN(G9/G8)</f>
        <v>-1.018880365915289E-2</v>
      </c>
      <c r="AD8" s="11">
        <f ca="1">LN(H9/H8)</f>
        <v>-1.3077121297054007E-2</v>
      </c>
      <c r="AE8" s="11">
        <f ca="1">LN(I9/I8)</f>
        <v>-0.12135450654294602</v>
      </c>
      <c r="AF8" s="11">
        <f ca="1">LN(J9/J8)</f>
        <v>2.665058097511722E-2</v>
      </c>
      <c r="AG8" s="11">
        <f ca="1">LN(K9/K8)</f>
        <v>-2.1396089848920222E-2</v>
      </c>
      <c r="AH8" s="11">
        <f ca="1">LN(L9/L8)</f>
        <v>-3.8113421471760167E-2</v>
      </c>
      <c r="AI8" s="11">
        <f ca="1">LN(M9/M8)</f>
        <v>1.1623123244539549E-2</v>
      </c>
      <c r="AJ8" s="11">
        <f ca="1">LN(N9/N8)</f>
        <v>-1.1306142061771502E-5</v>
      </c>
      <c r="AK8" s="11">
        <f ca="1">LN(O9/O8)</f>
        <v>-4.929157694427997E-2</v>
      </c>
      <c r="AL8" s="11">
        <f ca="1">LN(P9/P8)</f>
        <v>-6.9363265407880501E-2</v>
      </c>
      <c r="AM8" s="11">
        <f ca="1">LN(Q9/Q8)</f>
        <v>-1.8718315664718609E-2</v>
      </c>
      <c r="AN8" s="11">
        <f ca="1">LN(R9/R8)</f>
        <v>-5.1077170782726109E-3</v>
      </c>
      <c r="AO8" s="11">
        <f ca="1">LN(S9/S8)</f>
        <v>-6.6770733489690856E-2</v>
      </c>
      <c r="AP8" s="11">
        <f ca="1">LN(T9/T8)</f>
        <v>-8.7070096924403201E-4</v>
      </c>
      <c r="AQ8" s="12">
        <f ca="1">LN(U9/U8)</f>
        <v>-3.4048795586801728E-3</v>
      </c>
      <c r="AS8" s="31" t="s">
        <v>3</v>
      </c>
      <c r="AT8" s="21">
        <f ca="1">CORREL(
  INDEX($X$4:$AQ$21,,MATCH($AS8,$X$3:$AQ$3,0)),
  INDEX($X$4:$AQ$21,,MATCH(AT$3,$X$3:$AQ$3,0))
)</f>
        <v>0.62968672665417791</v>
      </c>
      <c r="AU8" s="21">
        <f ca="1">CORREL(
  INDEX($X$4:$AQ$21,,MATCH($AS8,$X$3:$AQ$3,0)),
  INDEX($X$4:$AQ$21,,MATCH(AU$3,$X$3:$AQ$3,0))
)</f>
        <v>0.41736986681970856</v>
      </c>
      <c r="AV8" s="21">
        <f ca="1">CORREL(
  INDEX($X$4:$AQ$21,,MATCH($AS8,$X$3:$AQ$3,0)),
  INDEX($X$4:$AQ$21,,MATCH(AV$3,$X$3:$AQ$3,0))
)</f>
        <v>-0.17842231843513612</v>
      </c>
      <c r="AW8" s="21">
        <f ca="1">CORREL(
  INDEX($X$4:$AQ$21,,MATCH($AS8,$X$3:$AQ$3,0)),
  INDEX($X$4:$AQ$21,,MATCH(AW$3,$X$3:$AQ$3,0))
)</f>
        <v>0.59771041358418953</v>
      </c>
      <c r="AX8" s="21">
        <f ca="1">CORREL(
  INDEX($X$4:$AQ$21,,MATCH($AS8,$X$3:$AQ$3,0)),
  INDEX($X$4:$AQ$21,,MATCH(AX$3,$X$3:$AQ$3,0))
)</f>
        <v>1</v>
      </c>
      <c r="AY8" s="21">
        <f ca="1">CORREL(
  INDEX($X$4:$AQ$21,,MATCH($AS8,$X$3:$AQ$3,0)),
  INDEX($X$4:$AQ$21,,MATCH(AY$3,$X$3:$AQ$3,0))
)</f>
        <v>0.99830285787255535</v>
      </c>
      <c r="AZ8" s="21">
        <f ca="1">CORREL(
  INDEX($X$4:$AQ$21,,MATCH($AS8,$X$3:$AQ$3,0)),
  INDEX($X$4:$AQ$21,,MATCH(AZ$3,$X$3:$AQ$3,0))
)</f>
        <v>0.22590464240518901</v>
      </c>
      <c r="BA8" s="21">
        <f ca="1">CORREL(
  INDEX($X$4:$AQ$21,,MATCH($AS8,$X$3:$AQ$3,0)),
  INDEX($X$4:$AQ$21,,MATCH(BA$3,$X$3:$AQ$3,0))
)</f>
        <v>0.43934284564537074</v>
      </c>
      <c r="BB8" s="21">
        <f ca="1">CORREL(
  INDEX($X$4:$AQ$21,,MATCH($AS8,$X$3:$AQ$3,0)),
  INDEX($X$4:$AQ$21,,MATCH(BB$3,$X$3:$AQ$3,0))
)</f>
        <v>0.45561195026057544</v>
      </c>
      <c r="BC8" s="21">
        <f ca="1">CORREL(
  INDEX($X$4:$AQ$21,,MATCH($AS8,$X$3:$AQ$3,0)),
  INDEX($X$4:$AQ$21,,MATCH(BC$3,$X$3:$AQ$3,0))
)</f>
        <v>0.501376994646901</v>
      </c>
      <c r="BD8" s="21">
        <f ca="1">CORREL(
  INDEX($X$4:$AQ$21,,MATCH($AS8,$X$3:$AQ$3,0)),
  INDEX($X$4:$AQ$21,,MATCH(BD$3,$X$3:$AQ$3,0))
)</f>
        <v>0.46590390024414374</v>
      </c>
      <c r="BE8" s="21">
        <f ca="1">CORREL(
  INDEX($X$4:$AQ$21,,MATCH($AS8,$X$3:$AQ$3,0)),
  INDEX($X$4:$AQ$21,,MATCH(BE$3,$X$3:$AQ$3,0))
)</f>
        <v>-0.16007007584597324</v>
      </c>
      <c r="BF8" s="21">
        <f ca="1">CORREL(
  INDEX($X$4:$AQ$21,,MATCH($AS8,$X$3:$AQ$3,0)),
  INDEX($X$4:$AQ$21,,MATCH(BF$3,$X$3:$AQ$3,0))
)</f>
        <v>-0.19023316004430724</v>
      </c>
      <c r="BG8" s="21">
        <f ca="1">CORREL(
  INDEX($X$4:$AQ$21,,MATCH($AS8,$X$3:$AQ$3,0)),
  INDEX($X$4:$AQ$21,,MATCH(BG$3,$X$3:$AQ$3,0))
)</f>
        <v>0.55732883725725857</v>
      </c>
      <c r="BH8" s="21">
        <f ca="1">CORREL(
  INDEX($X$4:$AQ$21,,MATCH($AS8,$X$3:$AQ$3,0)),
  INDEX($X$4:$AQ$21,,MATCH(BH$3,$X$3:$AQ$3,0))
)</f>
        <v>0.56986269100682674</v>
      </c>
      <c r="BI8" s="21">
        <f ca="1">CORREL(
  INDEX($X$4:$AQ$21,,MATCH($AS8,$X$3:$AQ$3,0)),
  INDEX($X$4:$AQ$21,,MATCH(BI$3,$X$3:$AQ$3,0))
)</f>
        <v>0.54328188575240133</v>
      </c>
      <c r="BJ8" s="21">
        <f ca="1">CORREL(
  INDEX($X$4:$AQ$21,,MATCH($AS8,$X$3:$AQ$3,0)),
  INDEX($X$4:$AQ$21,,MATCH(BJ$3,$X$3:$AQ$3,0))
)</f>
        <v>0.38135815684251018</v>
      </c>
      <c r="BK8" s="21">
        <f ca="1">CORREL(
  INDEX($X$4:$AQ$21,,MATCH($AS8,$X$3:$AQ$3,0)),
  INDEX($X$4:$AQ$21,,MATCH(BK$3,$X$3:$AQ$3,0))
)</f>
        <v>0.28549449383826164</v>
      </c>
      <c r="BL8" s="21">
        <f ca="1">CORREL(
  INDEX($X$4:$AQ$21,,MATCH($AS8,$X$3:$AQ$3,0)),
  INDEX($X$4:$AQ$21,,MATCH(BL$3,$X$3:$AQ$3,0))
)</f>
        <v>-0.13286815145261874</v>
      </c>
      <c r="BM8" s="22">
        <f ca="1">CORREL(
  INDEX($X$4:$AQ$21,,MATCH($AS8,$X$3:$AQ$3,0)),
  INDEX($X$4:$AQ$21,,MATCH(BM$3,$X$3:$AQ$3,0))
)</f>
        <v>0.47798922044516662</v>
      </c>
    </row>
    <row r="9" spans="1:65" x14ac:dyDescent="0.3">
      <c r="A9" vm="125">
        <f ca="1"/>
        <v>46003</v>
      </c>
      <c r="B9" vm="126">
        <f ca="1"/>
        <v>175.02</v>
      </c>
      <c r="C9" vm="127">
        <f ca="1"/>
        <v>278.27999999999997</v>
      </c>
      <c r="D9" vm="128">
        <f ca="1"/>
        <v>478.53</v>
      </c>
      <c r="E9" vm="129">
        <f ca="1"/>
        <v>226.19</v>
      </c>
      <c r="F9" vm="130">
        <f ca="1"/>
        <v>309.29000000000002</v>
      </c>
      <c r="G9" vm="131">
        <f ca="1"/>
        <v>310.52</v>
      </c>
      <c r="H9" vm="132">
        <f ca="1"/>
        <v>644.23</v>
      </c>
      <c r="I9" vm="133">
        <f ca="1"/>
        <v>359.93</v>
      </c>
      <c r="J9" vm="134">
        <f ca="1"/>
        <v>458.96</v>
      </c>
      <c r="K9" vm="135">
        <f ca="1"/>
        <v>183.57</v>
      </c>
      <c r="L9" vm="136">
        <f ca="1"/>
        <v>1080.8499999999999</v>
      </c>
      <c r="M9" vm="137">
        <f ca="1"/>
        <v>95.19</v>
      </c>
      <c r="N9" vm="138">
        <f ca="1"/>
        <v>884.47</v>
      </c>
      <c r="O9" vm="139">
        <f ca="1"/>
        <v>210.78</v>
      </c>
      <c r="P9" vm="140">
        <f ca="1"/>
        <v>241.14</v>
      </c>
      <c r="Q9" vm="141">
        <f ca="1"/>
        <v>77.8</v>
      </c>
      <c r="R9" vm="142">
        <f ca="1"/>
        <v>89.83</v>
      </c>
      <c r="S9" vm="143">
        <f ca="1"/>
        <v>670.67</v>
      </c>
      <c r="T9" vm="144">
        <f ca="1"/>
        <v>195.16</v>
      </c>
      <c r="U9" vm="145">
        <f ca="1"/>
        <v>164.19</v>
      </c>
      <c r="W9" s="7" vm="146">
        <f t="shared" ca="1" si="0"/>
        <v>46006</v>
      </c>
      <c r="X9" s="11">
        <f t="shared" ca="1" si="1"/>
        <v>7.2301131899667921E-3</v>
      </c>
      <c r="Y9" s="11">
        <f ca="1">LN(C10/C9)</f>
        <v>-1.509831537680152E-2</v>
      </c>
      <c r="Z9" s="11">
        <f ca="1">LN(D10/D9)</f>
        <v>-7.7831200049445952E-3</v>
      </c>
      <c r="AA9" s="11">
        <f ca="1">LN(E10/E9)</f>
        <v>-1.6268493310335572E-2</v>
      </c>
      <c r="AB9" s="11">
        <f ca="1">LN(F10/F9)</f>
        <v>-3.4655343909737162E-3</v>
      </c>
      <c r="AC9" s="11">
        <f ca="1">LN(G10/G9)</f>
        <v>-3.8719717966448123E-3</v>
      </c>
      <c r="AD9" s="11">
        <f ca="1">LN(H10/H9)</f>
        <v>5.0784322687122824E-3</v>
      </c>
      <c r="AE9" s="11">
        <f ca="1">LN(I10/I9)</f>
        <v>-5.7522930218207396E-2</v>
      </c>
      <c r="AF9" s="11">
        <f ca="1">LN(J10/J9)</f>
        <v>3.5004162448596721E-2</v>
      </c>
      <c r="AG9" s="11">
        <f ca="1">LN(K10/K9)</f>
        <v>-1.7447253757979782E-3</v>
      </c>
      <c r="AH9" s="11">
        <f ca="1">LN(L10/L9)</f>
        <v>6.427924948454484E-3</v>
      </c>
      <c r="AI9" s="11">
        <f ca="1">LN(M10/M9)</f>
        <v>-1.5029918831680127E-2</v>
      </c>
      <c r="AJ9" s="11">
        <f ca="1">LN(N10/N9)</f>
        <v>-2.7405255433384009E-2</v>
      </c>
      <c r="AK9" s="11">
        <f ca="1">LN(O10/O9)</f>
        <v>-1.5298127968647657E-2</v>
      </c>
      <c r="AL9" s="11">
        <f ca="1">LN(P10/P9)</f>
        <v>-1.5210054214468818E-2</v>
      </c>
      <c r="AM9" s="11">
        <f ca="1">LN(Q10/Q9)</f>
        <v>5.767398235916819E-3</v>
      </c>
      <c r="AN9" s="11">
        <f ca="1">LN(R10/R9)</f>
        <v>1.9075499843250677E-2</v>
      </c>
      <c r="AO9" s="11">
        <f ca="1">LN(S10/S9)</f>
        <v>6.6798927272037319E-3</v>
      </c>
      <c r="AP9" s="11">
        <f ca="1">LN(T10/T9)</f>
        <v>5.1109178002101095E-3</v>
      </c>
      <c r="AQ9" s="12">
        <f ca="1">LN(U10/U9)</f>
        <v>-2.6788418318086083E-2</v>
      </c>
      <c r="AS9" s="31" t="s">
        <v>4</v>
      </c>
      <c r="AT9" s="21">
        <f ca="1">CORREL(
  INDEX($X$4:$AQ$21,,MATCH($AS9,$X$3:$AQ$3,0)),
  INDEX($X$4:$AQ$21,,MATCH(AT$3,$X$3:$AQ$3,0))
)</f>
        <v>0.62898316804823451</v>
      </c>
      <c r="AU9" s="21">
        <f ca="1">CORREL(
  INDEX($X$4:$AQ$21,,MATCH($AS9,$X$3:$AQ$3,0)),
  INDEX($X$4:$AQ$21,,MATCH(AU$3,$X$3:$AQ$3,0))
)</f>
        <v>0.42515141195593847</v>
      </c>
      <c r="AV9" s="21">
        <f ca="1">CORREL(
  INDEX($X$4:$AQ$21,,MATCH($AS9,$X$3:$AQ$3,0)),
  INDEX($X$4:$AQ$21,,MATCH(AV$3,$X$3:$AQ$3,0))
)</f>
        <v>-0.16552632720089483</v>
      </c>
      <c r="AW9" s="21">
        <f ca="1">CORREL(
  INDEX($X$4:$AQ$21,,MATCH($AS9,$X$3:$AQ$3,0)),
  INDEX($X$4:$AQ$21,,MATCH(AW$3,$X$3:$AQ$3,0))
)</f>
        <v>0.61852090149257943</v>
      </c>
      <c r="AX9" s="21">
        <f ca="1">CORREL(
  INDEX($X$4:$AQ$21,,MATCH($AS9,$X$3:$AQ$3,0)),
  INDEX($X$4:$AQ$21,,MATCH(AX$3,$X$3:$AQ$3,0))
)</f>
        <v>0.99830285787255535</v>
      </c>
      <c r="AY9" s="21">
        <f ca="1">CORREL(
  INDEX($X$4:$AQ$21,,MATCH($AS9,$X$3:$AQ$3,0)),
  INDEX($X$4:$AQ$21,,MATCH(AY$3,$X$3:$AQ$3,0))
)</f>
        <v>0.99999999999999989</v>
      </c>
      <c r="AZ9" s="21">
        <f ca="1">CORREL(
  INDEX($X$4:$AQ$21,,MATCH($AS9,$X$3:$AQ$3,0)),
  INDEX($X$4:$AQ$21,,MATCH(AZ$3,$X$3:$AQ$3,0))
)</f>
        <v>0.24096407182420748</v>
      </c>
      <c r="BA9" s="21">
        <f ca="1">CORREL(
  INDEX($X$4:$AQ$21,,MATCH($AS9,$X$3:$AQ$3,0)),
  INDEX($X$4:$AQ$21,,MATCH(BA$3,$X$3:$AQ$3,0))
)</f>
        <v>0.4437883016989666</v>
      </c>
      <c r="BB9" s="21">
        <f ca="1">CORREL(
  INDEX($X$4:$AQ$21,,MATCH($AS9,$X$3:$AQ$3,0)),
  INDEX($X$4:$AQ$21,,MATCH(BB$3,$X$3:$AQ$3,0))
)</f>
        <v>0.47737461752764526</v>
      </c>
      <c r="BC9" s="21">
        <f ca="1">CORREL(
  INDEX($X$4:$AQ$21,,MATCH($AS9,$X$3:$AQ$3,0)),
  INDEX($X$4:$AQ$21,,MATCH(BC$3,$X$3:$AQ$3,0))
)</f>
        <v>0.53367210061929993</v>
      </c>
      <c r="BD9" s="21">
        <f ca="1">CORREL(
  INDEX($X$4:$AQ$21,,MATCH($AS9,$X$3:$AQ$3,0)),
  INDEX($X$4:$AQ$21,,MATCH(BD$3,$X$3:$AQ$3,0))
)</f>
        <v>0.44706995010217793</v>
      </c>
      <c r="BE9" s="21">
        <f ca="1">CORREL(
  INDEX($X$4:$AQ$21,,MATCH($AS9,$X$3:$AQ$3,0)),
  INDEX($X$4:$AQ$21,,MATCH(BE$3,$X$3:$AQ$3,0))
)</f>
        <v>-0.14299410265725987</v>
      </c>
      <c r="BF9" s="21">
        <f ca="1">CORREL(
  INDEX($X$4:$AQ$21,,MATCH($AS9,$X$3:$AQ$3,0)),
  INDEX($X$4:$AQ$21,,MATCH(BF$3,$X$3:$AQ$3,0))
)</f>
        <v>-0.16871819387411852</v>
      </c>
      <c r="BG9" s="21">
        <f ca="1">CORREL(
  INDEX($X$4:$AQ$21,,MATCH($AS9,$X$3:$AQ$3,0)),
  INDEX($X$4:$AQ$21,,MATCH(BG$3,$X$3:$AQ$3,0))
)</f>
        <v>0.55398452899078809</v>
      </c>
      <c r="BH9" s="21">
        <f ca="1">CORREL(
  INDEX($X$4:$AQ$21,,MATCH($AS9,$X$3:$AQ$3,0)),
  INDEX($X$4:$AQ$21,,MATCH(BH$3,$X$3:$AQ$3,0))
)</f>
        <v>0.56043725747830597</v>
      </c>
      <c r="BI9" s="21">
        <f ca="1">CORREL(
  INDEX($X$4:$AQ$21,,MATCH($AS9,$X$3:$AQ$3,0)),
  INDEX($X$4:$AQ$21,,MATCH(BI$3,$X$3:$AQ$3,0))
)</f>
        <v>0.55472594635831163</v>
      </c>
      <c r="BJ9" s="21">
        <f ca="1">CORREL(
  INDEX($X$4:$AQ$21,,MATCH($AS9,$X$3:$AQ$3,0)),
  INDEX($X$4:$AQ$21,,MATCH(BJ$3,$X$3:$AQ$3,0))
)</f>
        <v>0.38148533471851692</v>
      </c>
      <c r="BK9" s="21">
        <f ca="1">CORREL(
  INDEX($X$4:$AQ$21,,MATCH($AS9,$X$3:$AQ$3,0)),
  INDEX($X$4:$AQ$21,,MATCH(BK$3,$X$3:$AQ$3,0))
)</f>
        <v>0.31567830514548106</v>
      </c>
      <c r="BL9" s="21">
        <f ca="1">CORREL(
  INDEX($X$4:$AQ$21,,MATCH($AS9,$X$3:$AQ$3,0)),
  INDEX($X$4:$AQ$21,,MATCH(BL$3,$X$3:$AQ$3,0))
)</f>
        <v>-0.13819967791658169</v>
      </c>
      <c r="BM9" s="22">
        <f ca="1">CORREL(
  INDEX($X$4:$AQ$21,,MATCH($AS9,$X$3:$AQ$3,0)),
  INDEX($X$4:$AQ$21,,MATCH(BM$3,$X$3:$AQ$3,0))
)</f>
        <v>0.50286337069829479</v>
      </c>
    </row>
    <row r="10" spans="1:65" x14ac:dyDescent="0.3">
      <c r="A10" vm="146">
        <f ca="1"/>
        <v>46006</v>
      </c>
      <c r="B10" vm="147">
        <f ca="1"/>
        <v>176.29</v>
      </c>
      <c r="C10" vm="148">
        <f ca="1"/>
        <v>274.11</v>
      </c>
      <c r="D10" vm="149">
        <f ca="1"/>
        <v>474.82</v>
      </c>
      <c r="E10" vm="150">
        <f ca="1"/>
        <v>222.54</v>
      </c>
      <c r="F10" vm="151">
        <f ca="1"/>
        <v>308.22000000000003</v>
      </c>
      <c r="G10" vm="152">
        <f ca="1"/>
        <v>309.32</v>
      </c>
      <c r="H10" vm="153">
        <f ca="1"/>
        <v>647.51</v>
      </c>
      <c r="I10" vm="154">
        <f ca="1"/>
        <v>339.81</v>
      </c>
      <c r="J10" vm="155">
        <f ca="1"/>
        <v>475.31</v>
      </c>
      <c r="K10" vm="156">
        <f ca="1"/>
        <v>183.25</v>
      </c>
      <c r="L10" vm="157">
        <f ca="1"/>
        <v>1087.82</v>
      </c>
      <c r="M10" vm="158">
        <f ca="1"/>
        <v>93.77</v>
      </c>
      <c r="N10" vm="159">
        <f ca="1"/>
        <v>860.56</v>
      </c>
      <c r="O10" vm="160">
        <f ca="1"/>
        <v>207.58</v>
      </c>
      <c r="P10" vm="161">
        <f ca="1"/>
        <v>237.5</v>
      </c>
      <c r="Q10" vm="162">
        <f ca="1"/>
        <v>78.25</v>
      </c>
      <c r="R10" vm="163">
        <f ca="1"/>
        <v>91.56</v>
      </c>
      <c r="S10" vm="164">
        <f ca="1"/>
        <v>675.16499999999996</v>
      </c>
      <c r="T10" vm="165">
        <f ca="1"/>
        <v>196.16</v>
      </c>
      <c r="U10" vm="166">
        <f ca="1"/>
        <v>159.85</v>
      </c>
      <c r="W10" s="7" vm="167">
        <f t="shared" ca="1" si="0"/>
        <v>46007</v>
      </c>
      <c r="X10" s="11">
        <f t="shared" ca="1" si="1"/>
        <v>8.0789117700556697E-3</v>
      </c>
      <c r="Y10" s="11">
        <f ca="1">LN(C11/C10)</f>
        <v>1.8224235981354902E-3</v>
      </c>
      <c r="Z10" s="11">
        <f ca="1">LN(D11/D10)</f>
        <v>3.301061649250175E-3</v>
      </c>
      <c r="AA10" s="11">
        <f ca="1">LN(E11/E10)</f>
        <v>8.9867445578404765E-5</v>
      </c>
      <c r="AB10" s="11">
        <f ca="1">LN(F11/F10)</f>
        <v>-5.3676994150042559E-3</v>
      </c>
      <c r="AC10" s="11">
        <f ca="1">LN(G11/G10)</f>
        <v>-5.1535646028560223E-3</v>
      </c>
      <c r="AD10" s="11">
        <f ca="1">LN(H11/H10)</f>
        <v>1.4778065458137809E-2</v>
      </c>
      <c r="AE10" s="11">
        <f ca="1">LN(I11/I10)</f>
        <v>4.3752180319294827E-3</v>
      </c>
      <c r="AF10" s="11">
        <f ca="1">LN(J11/J10)</f>
        <v>3.0193240410874244E-2</v>
      </c>
      <c r="AG10" s="11">
        <f ca="1">LN(K11/K10)</f>
        <v>2.4259949877483245E-2</v>
      </c>
      <c r="AH10" s="11">
        <f ca="1">LN(L11/L10)</f>
        <v>-1.0878764508922282E-2</v>
      </c>
      <c r="AI10" s="11">
        <f ca="1">LN(M11/M10)</f>
        <v>8.4953255958869558E-3</v>
      </c>
      <c r="AJ10" s="11">
        <f ca="1">LN(N11/N10)</f>
        <v>-1.9756529887904583E-4</v>
      </c>
      <c r="AK10" s="11">
        <f ca="1">LN(O11/O10)</f>
        <v>7.6305109286854593E-3</v>
      </c>
      <c r="AL10" s="11">
        <f ca="1">LN(P11/P10)</f>
        <v>-2.1234388619532633E-2</v>
      </c>
      <c r="AM10" s="11">
        <f ca="1">LN(Q11/Q10)</f>
        <v>-8.9859397977148422E-3</v>
      </c>
      <c r="AN10" s="11">
        <f ca="1">LN(R11/R10)</f>
        <v>-2.296212260350268E-3</v>
      </c>
      <c r="AO10" s="11">
        <f ca="1">LN(S11/S10)</f>
        <v>3.15720077555903E-3</v>
      </c>
      <c r="AP10" s="11">
        <f ca="1">LN(T11/T10)</f>
        <v>9.336377946688618E-3</v>
      </c>
      <c r="AQ10" s="12">
        <f ca="1">LN(U11/U10)</f>
        <v>2.0372852366583837E-2</v>
      </c>
      <c r="AS10" s="31" t="s">
        <v>18</v>
      </c>
      <c r="AT10" s="21">
        <f ca="1">CORREL(
  INDEX($X$4:$AQ$21,,MATCH($AS10,$X$3:$AQ$3,0)),
  INDEX($X$4:$AQ$21,,MATCH(AT$3,$X$3:$AQ$3,0))
)</f>
        <v>0.30465944410820256</v>
      </c>
      <c r="AU10" s="21">
        <f ca="1">CORREL(
  INDEX($X$4:$AQ$21,,MATCH($AS10,$X$3:$AQ$3,0)),
  INDEX($X$4:$AQ$21,,MATCH(AU$3,$X$3:$AQ$3,0))
)</f>
        <v>4.5338939170803803E-2</v>
      </c>
      <c r="AV10" s="21">
        <f ca="1">CORREL(
  INDEX($X$4:$AQ$21,,MATCH($AS10,$X$3:$AQ$3,0)),
  INDEX($X$4:$AQ$21,,MATCH(AV$3,$X$3:$AQ$3,0))
)</f>
        <v>0.48517734431992116</v>
      </c>
      <c r="AW10" s="21">
        <f ca="1">CORREL(
  INDEX($X$4:$AQ$21,,MATCH($AS10,$X$3:$AQ$3,0)),
  INDEX($X$4:$AQ$21,,MATCH(AW$3,$X$3:$AQ$3,0))
)</f>
        <v>0.47373861469155171</v>
      </c>
      <c r="AX10" s="21">
        <f ca="1">CORREL(
  INDEX($X$4:$AQ$21,,MATCH($AS10,$X$3:$AQ$3,0)),
  INDEX($X$4:$AQ$21,,MATCH(AX$3,$X$3:$AQ$3,0))
)</f>
        <v>0.22590464240518901</v>
      </c>
      <c r="AY10" s="21">
        <f ca="1">CORREL(
  INDEX($X$4:$AQ$21,,MATCH($AS10,$X$3:$AQ$3,0)),
  INDEX($X$4:$AQ$21,,MATCH(AY$3,$X$3:$AQ$3,0))
)</f>
        <v>0.24096407182420748</v>
      </c>
      <c r="AZ10" s="21">
        <f ca="1">CORREL(
  INDEX($X$4:$AQ$21,,MATCH($AS10,$X$3:$AQ$3,0)),
  INDEX($X$4:$AQ$21,,MATCH(AZ$3,$X$3:$AQ$3,0))
)</f>
        <v>1.0000000000000002</v>
      </c>
      <c r="BA10" s="21">
        <f ca="1">CORREL(
  INDEX($X$4:$AQ$21,,MATCH($AS10,$X$3:$AQ$3,0)),
  INDEX($X$4:$AQ$21,,MATCH(BA$3,$X$3:$AQ$3,0))
)</f>
        <v>0.17154680737737618</v>
      </c>
      <c r="BB10" s="21">
        <f ca="1">CORREL(
  INDEX($X$4:$AQ$21,,MATCH($AS10,$X$3:$AQ$3,0)),
  INDEX($X$4:$AQ$21,,MATCH(BB$3,$X$3:$AQ$3,0))
)</f>
        <v>0.48593951008477432</v>
      </c>
      <c r="BC10" s="21">
        <f ca="1">CORREL(
  INDEX($X$4:$AQ$21,,MATCH($AS10,$X$3:$AQ$3,0)),
  INDEX($X$4:$AQ$21,,MATCH(BC$3,$X$3:$AQ$3,0))
)</f>
        <v>0.48794733237462684</v>
      </c>
      <c r="BD10" s="21">
        <f ca="1">CORREL(
  INDEX($X$4:$AQ$21,,MATCH($AS10,$X$3:$AQ$3,0)),
  INDEX($X$4:$AQ$21,,MATCH(BD$3,$X$3:$AQ$3,0))
)</f>
        <v>3.9857451139889657E-2</v>
      </c>
      <c r="BE10" s="21">
        <f ca="1">CORREL(
  INDEX($X$4:$AQ$21,,MATCH($AS10,$X$3:$AQ$3,0)),
  INDEX($X$4:$AQ$21,,MATCH(BE$3,$X$3:$AQ$3,0))
)</f>
        <v>0.21578376294394697</v>
      </c>
      <c r="BF10" s="21">
        <f ca="1">CORREL(
  INDEX($X$4:$AQ$21,,MATCH($AS10,$X$3:$AQ$3,0)),
  INDEX($X$4:$AQ$21,,MATCH(BF$3,$X$3:$AQ$3,0))
)</f>
        <v>8.0584095239068454E-2</v>
      </c>
      <c r="BG10" s="21">
        <f ca="1">CORREL(
  INDEX($X$4:$AQ$21,,MATCH($AS10,$X$3:$AQ$3,0)),
  INDEX($X$4:$AQ$21,,MATCH(BG$3,$X$3:$AQ$3,0))
)</f>
        <v>8.9726000137488174E-2</v>
      </c>
      <c r="BH10" s="21">
        <f ca="1">CORREL(
  INDEX($X$4:$AQ$21,,MATCH($AS10,$X$3:$AQ$3,0)),
  INDEX($X$4:$AQ$21,,MATCH(BH$3,$X$3:$AQ$3,0))
)</f>
        <v>6.8852965067404098E-2</v>
      </c>
      <c r="BI10" s="21">
        <f ca="1">CORREL(
  INDEX($X$4:$AQ$21,,MATCH($AS10,$X$3:$AQ$3,0)),
  INDEX($X$4:$AQ$21,,MATCH(BI$3,$X$3:$AQ$3,0))
)</f>
        <v>0.1211640684317019</v>
      </c>
      <c r="BJ10" s="21">
        <f ca="1">CORREL(
  INDEX($X$4:$AQ$21,,MATCH($AS10,$X$3:$AQ$3,0)),
  INDEX($X$4:$AQ$21,,MATCH(BJ$3,$X$3:$AQ$3,0))
)</f>
        <v>0.25632238138214714</v>
      </c>
      <c r="BK10" s="21">
        <f ca="1">CORREL(
  INDEX($X$4:$AQ$21,,MATCH($AS10,$X$3:$AQ$3,0)),
  INDEX($X$4:$AQ$21,,MATCH(BK$3,$X$3:$AQ$3,0))
)</f>
        <v>0.50496473045025436</v>
      </c>
      <c r="BL10" s="21">
        <f ca="1">CORREL(
  INDEX($X$4:$AQ$21,,MATCH($AS10,$X$3:$AQ$3,0)),
  INDEX($X$4:$AQ$21,,MATCH(BL$3,$X$3:$AQ$3,0))
)</f>
        <v>0.52807592846146001</v>
      </c>
      <c r="BM10" s="22">
        <f ca="1">CORREL(
  INDEX($X$4:$AQ$21,,MATCH($AS10,$X$3:$AQ$3,0)),
  INDEX($X$4:$AQ$21,,MATCH(BM$3,$X$3:$AQ$3,0))
)</f>
        <v>0.12745460080124049</v>
      </c>
    </row>
    <row r="11" spans="1:65" x14ac:dyDescent="0.3">
      <c r="A11" vm="167">
        <f ca="1"/>
        <v>46007</v>
      </c>
      <c r="B11" vm="168">
        <f ca="1"/>
        <v>177.72</v>
      </c>
      <c r="C11" vm="169">
        <f ca="1"/>
        <v>274.61</v>
      </c>
      <c r="D11" vm="170">
        <f ca="1"/>
        <v>476.39</v>
      </c>
      <c r="E11" vm="171">
        <f ca="1"/>
        <v>222.56</v>
      </c>
      <c r="F11" vm="172">
        <f ca="1"/>
        <v>306.57</v>
      </c>
      <c r="G11" vm="173">
        <f ca="1"/>
        <v>307.73</v>
      </c>
      <c r="H11" vm="174">
        <f ca="1"/>
        <v>657.15</v>
      </c>
      <c r="I11" vm="175">
        <f ca="1"/>
        <v>341.3</v>
      </c>
      <c r="J11" vm="176">
        <f ca="1"/>
        <v>489.88</v>
      </c>
      <c r="K11" vm="177">
        <f ca="1"/>
        <v>187.75</v>
      </c>
      <c r="L11" vm="178">
        <f ca="1"/>
        <v>1076.05</v>
      </c>
      <c r="M11" vm="179">
        <f ca="1"/>
        <v>94.57</v>
      </c>
      <c r="N11" vm="180">
        <f ca="1"/>
        <v>860.39</v>
      </c>
      <c r="O11" vm="181">
        <f ca="1"/>
        <v>209.17</v>
      </c>
      <c r="P11" vm="182">
        <f ca="1"/>
        <v>232.51</v>
      </c>
      <c r="Q11" vm="183">
        <f ca="1"/>
        <v>77.55</v>
      </c>
      <c r="R11" vm="184">
        <f ca="1"/>
        <v>91.35</v>
      </c>
      <c r="S11" vm="185">
        <f ca="1"/>
        <v>677.3</v>
      </c>
      <c r="T11" vm="186">
        <f ca="1"/>
        <v>198</v>
      </c>
      <c r="U11" vm="187">
        <f ca="1"/>
        <v>163.13999999999999</v>
      </c>
      <c r="W11" s="7" vm="188">
        <f t="shared" ca="1" si="0"/>
        <v>46008</v>
      </c>
      <c r="X11" s="11">
        <f t="shared" ca="1" si="1"/>
        <v>-3.8896660329835825E-2</v>
      </c>
      <c r="Y11" s="11">
        <f ca="1">LN(C12/C11)</f>
        <v>-1.013825135315272E-2</v>
      </c>
      <c r="Z11" s="11">
        <f ca="1">LN(D12/D11)</f>
        <v>-5.6692319709297919E-4</v>
      </c>
      <c r="AA11" s="11">
        <f ca="1">LN(E12/E11)</f>
        <v>-5.8130528922930788E-3</v>
      </c>
      <c r="AB11" s="11">
        <f ca="1">LN(F12/F11)</f>
        <v>-3.2657181110891949E-2</v>
      </c>
      <c r="AC11" s="11">
        <f ca="1">LN(G12/G11)</f>
        <v>-3.1927966617331931E-2</v>
      </c>
      <c r="AD11" s="11">
        <f ca="1">LN(H12/H11)</f>
        <v>-1.1709466817362844E-2</v>
      </c>
      <c r="AE11" s="11">
        <f ca="1">LN(I12/I11)</f>
        <v>-4.5803126734517773E-2</v>
      </c>
      <c r="AF11" s="11">
        <f ca="1">LN(J12/J11)</f>
        <v>-4.7274615227275441E-2</v>
      </c>
      <c r="AG11" s="11">
        <f ca="1">LN(K12/K11)</f>
        <v>-5.732448073395506E-2</v>
      </c>
      <c r="AH11" s="11">
        <f ca="1">LN(L12/L11)</f>
        <v>-5.7984760959851361E-2</v>
      </c>
      <c r="AI11" s="11">
        <f ca="1">LN(M12/M11)</f>
        <v>2.3236174375296684E-3</v>
      </c>
      <c r="AJ11" s="11">
        <f ca="1">LN(N12/N11)</f>
        <v>2.6232720030020208E-3</v>
      </c>
      <c r="AK11" s="11">
        <f ca="1">LN(O12/O11)</f>
        <v>-5.4324886479593229E-2</v>
      </c>
      <c r="AL11" s="11">
        <f ca="1">LN(P12/P11)</f>
        <v>-3.0524388049306132E-2</v>
      </c>
      <c r="AM11" s="11">
        <f ca="1">LN(Q12/Q11)</f>
        <v>-2.0189549336216677E-2</v>
      </c>
      <c r="AN11" s="11">
        <f ca="1">LN(R12/R11)</f>
        <v>-1.6445379182001802E-2</v>
      </c>
      <c r="AO11" s="11">
        <f ca="1">LN(S12/S11)</f>
        <v>-3.0232438207777473E-2</v>
      </c>
      <c r="AP11" s="11">
        <f ca="1">LN(T12/T11)</f>
        <v>6.9455209000225558E-3</v>
      </c>
      <c r="AQ11" s="12">
        <f ca="1">LN(U12/U11)</f>
        <v>-8.6804497407472394E-3</v>
      </c>
      <c r="AS11" s="31" t="s">
        <v>7</v>
      </c>
      <c r="AT11" s="21">
        <f ca="1">CORREL(
  INDEX($X$4:$AQ$21,,MATCH($AS11,$X$3:$AQ$3,0)),
  INDEX($X$4:$AQ$21,,MATCH(AT$3,$X$3:$AQ$3,0))
)</f>
        <v>0.70202147026220452</v>
      </c>
      <c r="AU11" s="21">
        <f ca="1">CORREL(
  INDEX($X$4:$AQ$21,,MATCH($AS11,$X$3:$AQ$3,0)),
  INDEX($X$4:$AQ$21,,MATCH(AU$3,$X$3:$AQ$3,0))
)</f>
        <v>0.37813366396394982</v>
      </c>
      <c r="AV11" s="21">
        <f ca="1">CORREL(
  INDEX($X$4:$AQ$21,,MATCH($AS11,$X$3:$AQ$3,0)),
  INDEX($X$4:$AQ$21,,MATCH(AV$3,$X$3:$AQ$3,0))
)</f>
        <v>0.26409223453945446</v>
      </c>
      <c r="AW11" s="21">
        <f ca="1">CORREL(
  INDEX($X$4:$AQ$21,,MATCH($AS11,$X$3:$AQ$3,0)),
  INDEX($X$4:$AQ$21,,MATCH(AW$3,$X$3:$AQ$3,0))
)</f>
        <v>0.56654805389902663</v>
      </c>
      <c r="AX11" s="21">
        <f ca="1">CORREL(
  INDEX($X$4:$AQ$21,,MATCH($AS11,$X$3:$AQ$3,0)),
  INDEX($X$4:$AQ$21,,MATCH(AX$3,$X$3:$AQ$3,0))
)</f>
        <v>0.43934284564537074</v>
      </c>
      <c r="AY11" s="21">
        <f ca="1">CORREL(
  INDEX($X$4:$AQ$21,,MATCH($AS11,$X$3:$AQ$3,0)),
  INDEX($X$4:$AQ$21,,MATCH(AY$3,$X$3:$AQ$3,0))
)</f>
        <v>0.4437883016989666</v>
      </c>
      <c r="AZ11" s="21">
        <f ca="1">CORREL(
  INDEX($X$4:$AQ$21,,MATCH($AS11,$X$3:$AQ$3,0)),
  INDEX($X$4:$AQ$21,,MATCH(AZ$3,$X$3:$AQ$3,0))
)</f>
        <v>0.17154680737737618</v>
      </c>
      <c r="BA11" s="21">
        <f ca="1">CORREL(
  INDEX($X$4:$AQ$21,,MATCH($AS11,$X$3:$AQ$3,0)),
  INDEX($X$4:$AQ$21,,MATCH(BA$3,$X$3:$AQ$3,0))
)</f>
        <v>1.0000000000000002</v>
      </c>
      <c r="BB11" s="21">
        <f ca="1">CORREL(
  INDEX($X$4:$AQ$21,,MATCH($AS11,$X$3:$AQ$3,0)),
  INDEX($X$4:$AQ$21,,MATCH(BB$3,$X$3:$AQ$3,0))
)</f>
        <v>-0.2127223327467733</v>
      </c>
      <c r="BC11" s="21">
        <f ca="1">CORREL(
  INDEX($X$4:$AQ$21,,MATCH($AS11,$X$3:$AQ$3,0)),
  INDEX($X$4:$AQ$21,,MATCH(BC$3,$X$3:$AQ$3,0))
)</f>
        <v>0.40406606440696963</v>
      </c>
      <c r="BD11" s="21">
        <f ca="1">CORREL(
  INDEX($X$4:$AQ$21,,MATCH($AS11,$X$3:$AQ$3,0)),
  INDEX($X$4:$AQ$21,,MATCH(BD$3,$X$3:$AQ$3,0))
)</f>
        <v>0.52603452258671368</v>
      </c>
      <c r="BE11" s="21">
        <f ca="1">CORREL(
  INDEX($X$4:$AQ$21,,MATCH($AS11,$X$3:$AQ$3,0)),
  INDEX($X$4:$AQ$21,,MATCH(BE$3,$X$3:$AQ$3,0))
)</f>
        <v>-0.31333162937808257</v>
      </c>
      <c r="BF11" s="21">
        <f ca="1">CORREL(
  INDEX($X$4:$AQ$21,,MATCH($AS11,$X$3:$AQ$3,0)),
  INDEX($X$4:$AQ$21,,MATCH(BF$3,$X$3:$AQ$3,0))
)</f>
        <v>9.268228874403231E-2</v>
      </c>
      <c r="BG11" s="21">
        <f ca="1">CORREL(
  INDEX($X$4:$AQ$21,,MATCH($AS11,$X$3:$AQ$3,0)),
  INDEX($X$4:$AQ$21,,MATCH(BG$3,$X$3:$AQ$3,0))
)</f>
        <v>0.75529977911319501</v>
      </c>
      <c r="BH11" s="21">
        <f ca="1">CORREL(
  INDEX($X$4:$AQ$21,,MATCH($AS11,$X$3:$AQ$3,0)),
  INDEX($X$4:$AQ$21,,MATCH(BH$3,$X$3:$AQ$3,0))
)</f>
        <v>0.66262593652364976</v>
      </c>
      <c r="BI11" s="21">
        <f ca="1">CORREL(
  INDEX($X$4:$AQ$21,,MATCH($AS11,$X$3:$AQ$3,0)),
  INDEX($X$4:$AQ$21,,MATCH(BI$3,$X$3:$AQ$3,0))
)</f>
        <v>0.61163341200894872</v>
      </c>
      <c r="BJ11" s="21">
        <f ca="1">CORREL(
  INDEX($X$4:$AQ$21,,MATCH($AS11,$X$3:$AQ$3,0)),
  INDEX($X$4:$AQ$21,,MATCH(BJ$3,$X$3:$AQ$3,0))
)</f>
        <v>0.25046508371236437</v>
      </c>
      <c r="BK11" s="21">
        <f ca="1">CORREL(
  INDEX($X$4:$AQ$21,,MATCH($AS11,$X$3:$AQ$3,0)),
  INDEX($X$4:$AQ$21,,MATCH(BK$3,$X$3:$AQ$3,0))
)</f>
        <v>0.43786128926035617</v>
      </c>
      <c r="BL11" s="21">
        <f ca="1">CORREL(
  INDEX($X$4:$AQ$21,,MATCH($AS11,$X$3:$AQ$3,0)),
  INDEX($X$4:$AQ$21,,MATCH(BL$3,$X$3:$AQ$3,0))
)</f>
        <v>-0.31129694957241005</v>
      </c>
      <c r="BM11" s="22">
        <f ca="1">CORREL(
  INDEX($X$4:$AQ$21,,MATCH($AS11,$X$3:$AQ$3,0)),
  INDEX($X$4:$AQ$21,,MATCH(BM$3,$X$3:$AQ$3,0))
)</f>
        <v>0.31783516521770261</v>
      </c>
    </row>
    <row r="12" spans="1:65" x14ac:dyDescent="0.3">
      <c r="A12" vm="188">
        <f ca="1"/>
        <v>46008</v>
      </c>
      <c r="B12" vm="189">
        <f ca="1"/>
        <v>170.94</v>
      </c>
      <c r="C12" vm="190">
        <f ca="1"/>
        <v>271.83999999999997</v>
      </c>
      <c r="D12" vm="191">
        <f ca="1"/>
        <v>476.12</v>
      </c>
      <c r="E12" vm="192">
        <f ca="1"/>
        <v>221.27</v>
      </c>
      <c r="F12" vm="193">
        <f ca="1"/>
        <v>296.72000000000003</v>
      </c>
      <c r="G12" vm="194">
        <f ca="1"/>
        <v>298.06</v>
      </c>
      <c r="H12" vm="195">
        <f ca="1"/>
        <v>649.5</v>
      </c>
      <c r="I12" vm="196">
        <f ca="1"/>
        <v>326.02</v>
      </c>
      <c r="J12" vm="197">
        <f ca="1"/>
        <v>467.26</v>
      </c>
      <c r="K12" vm="198">
        <f ca="1"/>
        <v>177.29</v>
      </c>
      <c r="L12" vm="199">
        <f ca="1"/>
        <v>1015.43</v>
      </c>
      <c r="M12" vm="200">
        <f ca="1"/>
        <v>94.79</v>
      </c>
      <c r="N12" vm="201">
        <f ca="1"/>
        <v>862.65</v>
      </c>
      <c r="O12" vm="202">
        <f ca="1"/>
        <v>198.11</v>
      </c>
      <c r="P12" vm="203">
        <f ca="1"/>
        <v>225.52</v>
      </c>
      <c r="Q12" vm="204">
        <f ca="1"/>
        <v>76</v>
      </c>
      <c r="R12" vm="205">
        <f ca="1"/>
        <v>89.86</v>
      </c>
      <c r="S12" vm="206">
        <f ca="1"/>
        <v>657.13</v>
      </c>
      <c r="T12" vm="207">
        <f ca="1"/>
        <v>199.38</v>
      </c>
      <c r="U12" vm="208">
        <f ca="1"/>
        <v>161.72999999999999</v>
      </c>
      <c r="W12" s="7" vm="209">
        <f t="shared" ca="1" si="0"/>
        <v>46009</v>
      </c>
      <c r="X12" s="11">
        <f t="shared" ca="1" si="1"/>
        <v>1.8546955662597609E-2</v>
      </c>
      <c r="Y12" s="11">
        <f ca="1">LN(C13/C12)</f>
        <v>1.2866939260253387E-3</v>
      </c>
      <c r="Z12" s="11">
        <f ca="1">LN(D13/D12)</f>
        <v>1.6373660249112808E-2</v>
      </c>
      <c r="AA12" s="11">
        <f ca="1">LN(E13/E12)</f>
        <v>2.450851417326317E-2</v>
      </c>
      <c r="AB12" s="11">
        <f ca="1">LN(F13/F12)</f>
        <v>1.9160104141258894E-2</v>
      </c>
      <c r="AC12" s="11">
        <f ca="1">LN(G13/G12)</f>
        <v>1.8910186134111575E-2</v>
      </c>
      <c r="AD12" s="11">
        <f ca="1">LN(H13/H12)</f>
        <v>2.2756794666862507E-2</v>
      </c>
      <c r="AE12" s="11">
        <f ca="1">LN(I13/I12)</f>
        <v>1.1770222787010912E-2</v>
      </c>
      <c r="AF12" s="11">
        <f ca="1">LN(J13/J12)</f>
        <v>3.3896558012283605E-2</v>
      </c>
      <c r="AG12" s="11">
        <f ca="1">LN(K13/K12)</f>
        <v>4.6291806702215138E-2</v>
      </c>
      <c r="AH12" s="11">
        <f ca="1">LN(L13/L12)</f>
        <v>2.0354158775204308E-2</v>
      </c>
      <c r="AI12" s="11">
        <f ca="1">LN(M13/M12)</f>
        <v>-8.3691361949463552E-3</v>
      </c>
      <c r="AJ12" s="11">
        <f ca="1">LN(N13/N12)</f>
        <v>-5.8829170270800245E-3</v>
      </c>
      <c r="AK12" s="11">
        <f ca="1">LN(O13/O12)</f>
        <v>1.4780938991038765E-2</v>
      </c>
      <c r="AL12" s="11">
        <f ca="1">LN(P13/P12)</f>
        <v>9.7235185734824509E-2</v>
      </c>
      <c r="AM12" s="11">
        <f ca="1">LN(Q13/Q12)</f>
        <v>1.242251999855711E-2</v>
      </c>
      <c r="AN12" s="11">
        <f ca="1">LN(R13/R12)</f>
        <v>8.3116785919553991E-3</v>
      </c>
      <c r="AO12" s="11">
        <f ca="1">LN(S13/S12)</f>
        <v>5.5123091634816823E-2</v>
      </c>
      <c r="AP12" s="11">
        <f ca="1">LN(T13/T12)</f>
        <v>4.4539045227742595E-3</v>
      </c>
      <c r="AQ12" s="12">
        <f ca="1">LN(U13/U12)</f>
        <v>3.0867211792959447E-2</v>
      </c>
      <c r="AS12" s="31" t="s">
        <v>21</v>
      </c>
      <c r="AT12" s="21">
        <f ca="1">CORREL(
  INDEX($X$4:$AQ$21,,MATCH($AS12,$X$3:$AQ$3,0)),
  INDEX($X$4:$AQ$21,,MATCH(AT$3,$X$3:$AQ$3,0))
)</f>
        <v>0.16912196950243055</v>
      </c>
      <c r="AU12" s="21">
        <f ca="1">CORREL(
  INDEX($X$4:$AQ$21,,MATCH($AS12,$X$3:$AQ$3,0)),
  INDEX($X$4:$AQ$21,,MATCH(AU$3,$X$3:$AQ$3,0))
)</f>
        <v>5.3498330067879164E-2</v>
      </c>
      <c r="AV12" s="21">
        <f ca="1">CORREL(
  INDEX($X$4:$AQ$21,,MATCH($AS12,$X$3:$AQ$3,0)),
  INDEX($X$4:$AQ$21,,MATCH(AV$3,$X$3:$AQ$3,0))
)</f>
        <v>-6.1410829436655621E-2</v>
      </c>
      <c r="AW12" s="21">
        <f ca="1">CORREL(
  INDEX($X$4:$AQ$21,,MATCH($AS12,$X$3:$AQ$3,0)),
  INDEX($X$4:$AQ$21,,MATCH(AW$3,$X$3:$AQ$3,0))
)</f>
        <v>0.26770147478945849</v>
      </c>
      <c r="AX12" s="21">
        <f ca="1">CORREL(
  INDEX($X$4:$AQ$21,,MATCH($AS12,$X$3:$AQ$3,0)),
  INDEX($X$4:$AQ$21,,MATCH(AX$3,$X$3:$AQ$3,0))
)</f>
        <v>0.45561195026057544</v>
      </c>
      <c r="AY12" s="21">
        <f ca="1">CORREL(
  INDEX($X$4:$AQ$21,,MATCH($AS12,$X$3:$AQ$3,0)),
  INDEX($X$4:$AQ$21,,MATCH(AY$3,$X$3:$AQ$3,0))
)</f>
        <v>0.47737461752764526</v>
      </c>
      <c r="AZ12" s="21">
        <f ca="1">CORREL(
  INDEX($X$4:$AQ$21,,MATCH($AS12,$X$3:$AQ$3,0)),
  INDEX($X$4:$AQ$21,,MATCH(AZ$3,$X$3:$AQ$3,0))
)</f>
        <v>0.48593951008477432</v>
      </c>
      <c r="BA12" s="21">
        <f ca="1">CORREL(
  INDEX($X$4:$AQ$21,,MATCH($AS12,$X$3:$AQ$3,0)),
  INDEX($X$4:$AQ$21,,MATCH(BA$3,$X$3:$AQ$3,0))
)</f>
        <v>-0.2127223327467733</v>
      </c>
      <c r="BB12" s="21">
        <f ca="1">CORREL(
  INDEX($X$4:$AQ$21,,MATCH($AS12,$X$3:$AQ$3,0)),
  INDEX($X$4:$AQ$21,,MATCH(BB$3,$X$3:$AQ$3,0))
)</f>
        <v>1.0000000000000002</v>
      </c>
      <c r="BC12" s="21">
        <f ca="1">CORREL(
  INDEX($X$4:$AQ$21,,MATCH($AS12,$X$3:$AQ$3,0)),
  INDEX($X$4:$AQ$21,,MATCH(BC$3,$X$3:$AQ$3,0))
)</f>
        <v>0.6473924469566773</v>
      </c>
      <c r="BD12" s="21">
        <f ca="1">CORREL(
  INDEX($X$4:$AQ$21,,MATCH($AS12,$X$3:$AQ$3,0)),
  INDEX($X$4:$AQ$21,,MATCH(BD$3,$X$3:$AQ$3,0))
)</f>
        <v>-4.3067247504554214E-2</v>
      </c>
      <c r="BE12" s="21">
        <f ca="1">CORREL(
  INDEX($X$4:$AQ$21,,MATCH($AS12,$X$3:$AQ$3,0)),
  INDEX($X$4:$AQ$21,,MATCH(BE$3,$X$3:$AQ$3,0))
)</f>
        <v>6.2623339275283352E-2</v>
      </c>
      <c r="BF12" s="21">
        <f ca="1">CORREL(
  INDEX($X$4:$AQ$21,,MATCH($AS12,$X$3:$AQ$3,0)),
  INDEX($X$4:$AQ$21,,MATCH(BF$3,$X$3:$AQ$3,0))
)</f>
        <v>-0.25299699557466937</v>
      </c>
      <c r="BG12" s="21">
        <f ca="1">CORREL(
  INDEX($X$4:$AQ$21,,MATCH($AS12,$X$3:$AQ$3,0)),
  INDEX($X$4:$AQ$21,,MATCH(BG$3,$X$3:$AQ$3,0))
)</f>
        <v>-2.4208993813441899E-2</v>
      </c>
      <c r="BH12" s="21">
        <f ca="1">CORREL(
  INDEX($X$4:$AQ$21,,MATCH($AS12,$X$3:$AQ$3,0)),
  INDEX($X$4:$AQ$21,,MATCH(BH$3,$X$3:$AQ$3,0))
)</f>
        <v>-4.792580090660447E-2</v>
      </c>
      <c r="BI12" s="21">
        <f ca="1">CORREL(
  INDEX($X$4:$AQ$21,,MATCH($AS12,$X$3:$AQ$3,0)),
  INDEX($X$4:$AQ$21,,MATCH(BI$3,$X$3:$AQ$3,0))
)</f>
        <v>0.24708267753507876</v>
      </c>
      <c r="BJ12" s="21">
        <f ca="1">CORREL(
  INDEX($X$4:$AQ$21,,MATCH($AS12,$X$3:$AQ$3,0)),
  INDEX($X$4:$AQ$21,,MATCH(BJ$3,$X$3:$AQ$3,0))
)</f>
        <v>0.33301457594241651</v>
      </c>
      <c r="BK12" s="21">
        <f ca="1">CORREL(
  INDEX($X$4:$AQ$21,,MATCH($AS12,$X$3:$AQ$3,0)),
  INDEX($X$4:$AQ$21,,MATCH(BK$3,$X$3:$AQ$3,0))
)</f>
        <v>0.36542954739366607</v>
      </c>
      <c r="BL12" s="21">
        <f ca="1">CORREL(
  INDEX($X$4:$AQ$21,,MATCH($AS12,$X$3:$AQ$3,0)),
  INDEX($X$4:$AQ$21,,MATCH(BL$3,$X$3:$AQ$3,0))
)</f>
        <v>4.1784084241034948E-2</v>
      </c>
      <c r="BM12" s="22">
        <f ca="1">CORREL(
  INDEX($X$4:$AQ$21,,MATCH($AS12,$X$3:$AQ$3,0)),
  INDEX($X$4:$AQ$21,,MATCH(BM$3,$X$3:$AQ$3,0))
)</f>
        <v>0.44751317974013055</v>
      </c>
    </row>
    <row r="13" spans="1:65" x14ac:dyDescent="0.3">
      <c r="A13" vm="209">
        <f ca="1"/>
        <v>46009</v>
      </c>
      <c r="B13" vm="210">
        <f ca="1"/>
        <v>174.14</v>
      </c>
      <c r="C13" vm="211">
        <f ca="1"/>
        <v>272.19</v>
      </c>
      <c r="D13" vm="212">
        <f ca="1"/>
        <v>483.98</v>
      </c>
      <c r="E13" vm="213">
        <f ca="1"/>
        <v>226.76</v>
      </c>
      <c r="F13" vm="214">
        <f ca="1"/>
        <v>302.45999999999998</v>
      </c>
      <c r="G13" vm="215">
        <f ca="1"/>
        <v>303.75</v>
      </c>
      <c r="H13" vm="216">
        <f ca="1"/>
        <v>664.45</v>
      </c>
      <c r="I13" vm="217">
        <f ca="1"/>
        <v>329.88</v>
      </c>
      <c r="J13" vm="218">
        <f ca="1"/>
        <v>483.37</v>
      </c>
      <c r="K13" vm="219">
        <f ca="1"/>
        <v>185.69</v>
      </c>
      <c r="L13" vm="220">
        <f ca="1"/>
        <v>1036.31</v>
      </c>
      <c r="M13" vm="221">
        <f ca="1"/>
        <v>94</v>
      </c>
      <c r="N13" vm="222">
        <f ca="1"/>
        <v>857.59</v>
      </c>
      <c r="O13" vm="223">
        <f ca="1"/>
        <v>201.06</v>
      </c>
      <c r="P13" vm="224">
        <f ca="1"/>
        <v>248.55</v>
      </c>
      <c r="Q13" vm="225">
        <f ca="1"/>
        <v>76.95</v>
      </c>
      <c r="R13" vm="226">
        <f ca="1"/>
        <v>90.61</v>
      </c>
      <c r="S13" vm="227">
        <f ca="1"/>
        <v>694.37</v>
      </c>
      <c r="T13" vm="228">
        <f ca="1"/>
        <v>200.27</v>
      </c>
      <c r="U13" vm="229">
        <f ca="1"/>
        <v>166.8</v>
      </c>
      <c r="W13" s="7" vm="230">
        <f t="shared" ca="1" si="0"/>
        <v>46010</v>
      </c>
      <c r="X13" s="11">
        <f t="shared" ca="1" si="1"/>
        <v>3.8582207720310666E-2</v>
      </c>
      <c r="Y13" s="11">
        <f ca="1">LN(C14/C13)</f>
        <v>5.4226491284583497E-3</v>
      </c>
      <c r="Z13" s="11">
        <f ca="1">LN(D14/D13)</f>
        <v>4.0004177486467774E-3</v>
      </c>
      <c r="AA13" s="11">
        <f ca="1">LN(E14/E13)</f>
        <v>2.5984908149166322E-3</v>
      </c>
      <c r="AB13" s="11">
        <f ca="1">LN(F14/F13)</f>
        <v>1.5419747139748535E-2</v>
      </c>
      <c r="AC13" s="11">
        <f ca="1">LN(G14/G13)</f>
        <v>1.5873349156290163E-2</v>
      </c>
      <c r="AD13" s="11">
        <f ca="1">LN(H14/H13)</f>
        <v>-8.5851708515070797E-3</v>
      </c>
      <c r="AE13" s="11">
        <f ca="1">LN(I14/I13)</f>
        <v>3.127492901620206E-2</v>
      </c>
      <c r="AF13" s="11">
        <f ca="1">LN(J14/J13)</f>
        <v>-4.4994218375708573E-3</v>
      </c>
      <c r="AG13" s="11">
        <f ca="1">LN(K14/K13)</f>
        <v>4.0578548442897336E-2</v>
      </c>
      <c r="AH13" s="11">
        <f ca="1">LN(L14/L13)</f>
        <v>1.884079762185124E-2</v>
      </c>
      <c r="AI13" s="11">
        <f ca="1">LN(M14/M13)</f>
        <v>4.1403530668491038E-3</v>
      </c>
      <c r="AJ13" s="11">
        <f ca="1">LN(N14/N13)</f>
        <v>-2.2997774566732082E-3</v>
      </c>
      <c r="AK13" s="11">
        <f ca="1">LN(O14/O13)</f>
        <v>5.9705539078202641E-2</v>
      </c>
      <c r="AL13" s="11">
        <f ca="1">LN(P14/P13)</f>
        <v>6.7551479126401859E-2</v>
      </c>
      <c r="AM13" s="11">
        <f ca="1">LN(Q14/Q13)</f>
        <v>1.8923136579297357E-2</v>
      </c>
      <c r="AN13" s="11">
        <f ca="1">LN(R14/R13)</f>
        <v>8.243163673730923E-3</v>
      </c>
      <c r="AO13" s="11">
        <f ca="1">LN(S14/S13)</f>
        <v>3.8147222151449535E-2</v>
      </c>
      <c r="AP13" s="11">
        <f ca="1">LN(T14/T13)</f>
        <v>-1.7834225829157984E-2</v>
      </c>
      <c r="AQ13" s="12">
        <f ca="1">LN(U14/U13)</f>
        <v>1.6470330994389663E-2</v>
      </c>
      <c r="AS13" s="31" t="s">
        <v>23</v>
      </c>
      <c r="AT13" s="21">
        <f ca="1">CORREL(
  INDEX($X$4:$AQ$21,,MATCH($AS13,$X$3:$AQ$3,0)),
  INDEX($X$4:$AQ$21,,MATCH(AT$3,$X$3:$AQ$3,0))
)</f>
        <v>0.51601095043570366</v>
      </c>
      <c r="AU13" s="21">
        <f ca="1">CORREL(
  INDEX($X$4:$AQ$21,,MATCH($AS13,$X$3:$AQ$3,0)),
  INDEX($X$4:$AQ$21,,MATCH(AU$3,$X$3:$AQ$3,0))
)</f>
        <v>0.44551356421826338</v>
      </c>
      <c r="AV13" s="21">
        <f ca="1">CORREL(
  INDEX($X$4:$AQ$21,,MATCH($AS13,$X$3:$AQ$3,0)),
  INDEX($X$4:$AQ$21,,MATCH(AV$3,$X$3:$AQ$3,0))
)</f>
        <v>0.30096245103009828</v>
      </c>
      <c r="AW13" s="21">
        <f ca="1">CORREL(
  INDEX($X$4:$AQ$21,,MATCH($AS13,$X$3:$AQ$3,0)),
  INDEX($X$4:$AQ$21,,MATCH(AW$3,$X$3:$AQ$3,0))
)</f>
        <v>0.64266778273697811</v>
      </c>
      <c r="AX13" s="21">
        <f ca="1">CORREL(
  INDEX($X$4:$AQ$21,,MATCH($AS13,$X$3:$AQ$3,0)),
  INDEX($X$4:$AQ$21,,MATCH(AX$3,$X$3:$AQ$3,0))
)</f>
        <v>0.501376994646901</v>
      </c>
      <c r="AY13" s="21">
        <f ca="1">CORREL(
  INDEX($X$4:$AQ$21,,MATCH($AS13,$X$3:$AQ$3,0)),
  INDEX($X$4:$AQ$21,,MATCH(AY$3,$X$3:$AQ$3,0))
)</f>
        <v>0.53367210061929993</v>
      </c>
      <c r="AZ13" s="21">
        <f ca="1">CORREL(
  INDEX($X$4:$AQ$21,,MATCH($AS13,$X$3:$AQ$3,0)),
  INDEX($X$4:$AQ$21,,MATCH(AZ$3,$X$3:$AQ$3,0))
)</f>
        <v>0.48794733237462684</v>
      </c>
      <c r="BA13" s="21">
        <f ca="1">CORREL(
  INDEX($X$4:$AQ$21,,MATCH($AS13,$X$3:$AQ$3,0)),
  INDEX($X$4:$AQ$21,,MATCH(BA$3,$X$3:$AQ$3,0))
)</f>
        <v>0.40406606440696963</v>
      </c>
      <c r="BB13" s="21">
        <f ca="1">CORREL(
  INDEX($X$4:$AQ$21,,MATCH($AS13,$X$3:$AQ$3,0)),
  INDEX($X$4:$AQ$21,,MATCH(BB$3,$X$3:$AQ$3,0))
)</f>
        <v>0.6473924469566773</v>
      </c>
      <c r="BC13" s="21">
        <f ca="1">CORREL(
  INDEX($X$4:$AQ$21,,MATCH($AS13,$X$3:$AQ$3,0)),
  INDEX($X$4:$AQ$21,,MATCH(BC$3,$X$3:$AQ$3,0))
)</f>
        <v>1</v>
      </c>
      <c r="BD13" s="21">
        <f ca="1">CORREL(
  INDEX($X$4:$AQ$21,,MATCH($AS13,$X$3:$AQ$3,0)),
  INDEX($X$4:$AQ$21,,MATCH(BD$3,$X$3:$AQ$3,0))
)</f>
        <v>7.9423224373751974E-2</v>
      </c>
      <c r="BE13" s="21">
        <f ca="1">CORREL(
  INDEX($X$4:$AQ$21,,MATCH($AS13,$X$3:$AQ$3,0)),
  INDEX($X$4:$AQ$21,,MATCH(BE$3,$X$3:$AQ$3,0))
)</f>
        <v>-7.2767492318209212E-2</v>
      </c>
      <c r="BF13" s="21">
        <f ca="1">CORREL(
  INDEX($X$4:$AQ$21,,MATCH($AS13,$X$3:$AQ$3,0)),
  INDEX($X$4:$AQ$21,,MATCH(BF$3,$X$3:$AQ$3,0))
)</f>
        <v>-9.6293625407709291E-2</v>
      </c>
      <c r="BG13" s="21">
        <f ca="1">CORREL(
  INDEX($X$4:$AQ$21,,MATCH($AS13,$X$3:$AQ$3,0)),
  INDEX($X$4:$AQ$21,,MATCH(BG$3,$X$3:$AQ$3,0))
)</f>
        <v>0.40585301302266341</v>
      </c>
      <c r="BH13" s="21">
        <f ca="1">CORREL(
  INDEX($X$4:$AQ$21,,MATCH($AS13,$X$3:$AQ$3,0)),
  INDEX($X$4:$AQ$21,,MATCH(BH$3,$X$3:$AQ$3,0))
)</f>
        <v>0.31548968076421263</v>
      </c>
      <c r="BI13" s="21">
        <f ca="1">CORREL(
  INDEX($X$4:$AQ$21,,MATCH($AS13,$X$3:$AQ$3,0)),
  INDEX($X$4:$AQ$21,,MATCH(BI$3,$X$3:$AQ$3,0))
)</f>
        <v>0.71654478559250012</v>
      </c>
      <c r="BJ13" s="21">
        <f ca="1">CORREL(
  INDEX($X$4:$AQ$21,,MATCH($AS13,$X$3:$AQ$3,0)),
  INDEX($X$4:$AQ$21,,MATCH(BJ$3,$X$3:$AQ$3,0))
)</f>
        <v>0.51315751365998619</v>
      </c>
      <c r="BK13" s="21">
        <f ca="1">CORREL(
  INDEX($X$4:$AQ$21,,MATCH($AS13,$X$3:$AQ$3,0)),
  INDEX($X$4:$AQ$21,,MATCH(BK$3,$X$3:$AQ$3,0))
)</f>
        <v>0.70562697680281972</v>
      </c>
      <c r="BL13" s="21">
        <f ca="1">CORREL(
  INDEX($X$4:$AQ$21,,MATCH($AS13,$X$3:$AQ$3,0)),
  INDEX($X$4:$AQ$21,,MATCH(BL$3,$X$3:$AQ$3,0))
)</f>
        <v>-0.22732019135651249</v>
      </c>
      <c r="BM13" s="22">
        <f ca="1">CORREL(
  INDEX($X$4:$AQ$21,,MATCH($AS13,$X$3:$AQ$3,0)),
  INDEX($X$4:$AQ$21,,MATCH(BM$3,$X$3:$AQ$3,0))
)</f>
        <v>0.68353744794739979</v>
      </c>
    </row>
    <row r="14" spans="1:65" x14ac:dyDescent="0.3">
      <c r="A14" vm="230">
        <f ca="1"/>
        <v>46010</v>
      </c>
      <c r="B14" vm="231">
        <f ca="1"/>
        <v>180.99</v>
      </c>
      <c r="C14" vm="232">
        <f ca="1"/>
        <v>273.67</v>
      </c>
      <c r="D14" vm="233">
        <f ca="1"/>
        <v>485.92</v>
      </c>
      <c r="E14" vm="234">
        <f ca="1"/>
        <v>227.35</v>
      </c>
      <c r="F14" vm="235">
        <f ca="1"/>
        <v>307.16000000000003</v>
      </c>
      <c r="G14" vm="236">
        <f ca="1"/>
        <v>308.61</v>
      </c>
      <c r="H14" vm="237">
        <f ca="1"/>
        <v>658.77</v>
      </c>
      <c r="I14" vm="238">
        <f ca="1"/>
        <v>340.36</v>
      </c>
      <c r="J14" vm="239">
        <f ca="1"/>
        <v>481.2</v>
      </c>
      <c r="K14" vm="240">
        <f ca="1"/>
        <v>193.38</v>
      </c>
      <c r="L14" vm="241">
        <f ca="1"/>
        <v>1056.02</v>
      </c>
      <c r="M14" vm="242">
        <f ca="1"/>
        <v>94.39</v>
      </c>
      <c r="N14" vm="243">
        <f ca="1"/>
        <v>855.62</v>
      </c>
      <c r="O14" vm="244">
        <f ca="1"/>
        <v>213.43</v>
      </c>
      <c r="P14" vm="245">
        <f ca="1"/>
        <v>265.92</v>
      </c>
      <c r="Q14" vm="246">
        <f ca="1"/>
        <v>78.42</v>
      </c>
      <c r="R14" vm="247">
        <f ca="1"/>
        <v>91.36</v>
      </c>
      <c r="S14" vm="248">
        <f ca="1"/>
        <v>721.37</v>
      </c>
      <c r="T14" vm="249">
        <f ca="1"/>
        <v>196.73</v>
      </c>
      <c r="U14" vm="250">
        <f ca="1"/>
        <v>169.57</v>
      </c>
      <c r="W14" s="7" vm="251">
        <f t="shared" ca="1" si="0"/>
        <v>46013</v>
      </c>
      <c r="X14" s="11">
        <f t="shared" ca="1" si="1"/>
        <v>1.4807773037192643E-2</v>
      </c>
      <c r="Y14" s="11">
        <f ca="1">LN(C15/C14)</f>
        <v>-9.9148873332354798E-3</v>
      </c>
      <c r="Z14" s="11">
        <f ca="1">LN(D15/D14)</f>
        <v>-2.0600724190560451E-3</v>
      </c>
      <c r="AA14" s="11">
        <f ca="1">LN(E15/E14)</f>
        <v>4.7391373967587821E-3</v>
      </c>
      <c r="AB14" s="11">
        <f ca="1">LN(F15/F14)</f>
        <v>8.4935836572696839E-3</v>
      </c>
      <c r="AC14" s="11">
        <f ca="1">LN(G15/G14)</f>
        <v>8.7750990542523818E-3</v>
      </c>
      <c r="AD14" s="11">
        <f ca="1">LN(H15/H14)</f>
        <v>4.1355236290006748E-3</v>
      </c>
      <c r="AE14" s="11">
        <f ca="1">LN(I15/I14)</f>
        <v>3.1973744257416808E-3</v>
      </c>
      <c r="AF14" s="11">
        <f ca="1">LN(J15/J14)</f>
        <v>1.5527205645663913E-2</v>
      </c>
      <c r="AG14" s="11">
        <f ca="1">LN(K15/K14)</f>
        <v>3.0978959099951984E-3</v>
      </c>
      <c r="AH14" s="11">
        <f ca="1">LN(L15/L14)</f>
        <v>9.0866073455115009E-4</v>
      </c>
      <c r="AI14" s="11">
        <f ca="1">LN(M15/M14)</f>
        <v>-1.2365577028250726E-2</v>
      </c>
      <c r="AJ14" s="11">
        <f ca="1">LN(N15/N14)</f>
        <v>-6.5900028597574928E-3</v>
      </c>
      <c r="AK14" s="11">
        <f ca="1">LN(O15/O14)</f>
        <v>7.0965328868137934E-3</v>
      </c>
      <c r="AL14" s="11">
        <f ca="1">LN(P15/P14)</f>
        <v>3.9340753620078904E-2</v>
      </c>
      <c r="AM14" s="11">
        <f ca="1">LN(Q15/Q14)</f>
        <v>-3.9609072419797258E-3</v>
      </c>
      <c r="AN14" s="11">
        <f ca="1">LN(R15/R14)</f>
        <v>2.0775252128196276E-3</v>
      </c>
      <c r="AO14" s="11">
        <f ca="1">LN(S15/S14)</f>
        <v>1.6811739142908462E-2</v>
      </c>
      <c r="AP14" s="11">
        <f ca="1">LN(T15/T14)</f>
        <v>-4.9428111537580853E-3</v>
      </c>
      <c r="AQ14" s="12">
        <f ca="1">LN(U15/U14)</f>
        <v>5.895531358121116E-4</v>
      </c>
      <c r="AS14" s="31" t="s">
        <v>25</v>
      </c>
      <c r="AT14" s="21">
        <f ca="1">CORREL(
  INDEX($X$4:$AQ$21,,MATCH($AS14,$X$3:$AQ$3,0)),
  INDEX($X$4:$AQ$21,,MATCH(AT$3,$X$3:$AQ$3,0))
)</f>
        <v>0.64405185177055935</v>
      </c>
      <c r="AU14" s="21">
        <f ca="1">CORREL(
  INDEX($X$4:$AQ$21,,MATCH($AS14,$X$3:$AQ$3,0)),
  INDEX($X$4:$AQ$21,,MATCH(AU$3,$X$3:$AQ$3,0))
)</f>
        <v>0.14295909647754124</v>
      </c>
      <c r="AV14" s="21">
        <f ca="1">CORREL(
  INDEX($X$4:$AQ$21,,MATCH($AS14,$X$3:$AQ$3,0)),
  INDEX($X$4:$AQ$21,,MATCH(AV$3,$X$3:$AQ$3,0))
)</f>
        <v>-0.16802373588744446</v>
      </c>
      <c r="AW14" s="21">
        <f ca="1">CORREL(
  INDEX($X$4:$AQ$21,,MATCH($AS14,$X$3:$AQ$3,0)),
  INDEX($X$4:$AQ$21,,MATCH(AW$3,$X$3:$AQ$3,0))
)</f>
        <v>-1.8863930348386206E-2</v>
      </c>
      <c r="AX14" s="21">
        <f ca="1">CORREL(
  INDEX($X$4:$AQ$21,,MATCH($AS14,$X$3:$AQ$3,0)),
  INDEX($X$4:$AQ$21,,MATCH(AX$3,$X$3:$AQ$3,0))
)</f>
        <v>0.46590390024414374</v>
      </c>
      <c r="AY14" s="21">
        <f ca="1">CORREL(
  INDEX($X$4:$AQ$21,,MATCH($AS14,$X$3:$AQ$3,0)),
  INDEX($X$4:$AQ$21,,MATCH(AY$3,$X$3:$AQ$3,0))
)</f>
        <v>0.44706995010217793</v>
      </c>
      <c r="AZ14" s="21">
        <f ca="1">CORREL(
  INDEX($X$4:$AQ$21,,MATCH($AS14,$X$3:$AQ$3,0)),
  INDEX($X$4:$AQ$21,,MATCH(AZ$3,$X$3:$AQ$3,0))
)</f>
        <v>3.9857451139889657E-2</v>
      </c>
      <c r="BA14" s="21">
        <f ca="1">CORREL(
  INDEX($X$4:$AQ$21,,MATCH($AS14,$X$3:$AQ$3,0)),
  INDEX($X$4:$AQ$21,,MATCH(BA$3,$X$3:$AQ$3,0))
)</f>
        <v>0.52603452258671368</v>
      </c>
      <c r="BB14" s="21">
        <f ca="1">CORREL(
  INDEX($X$4:$AQ$21,,MATCH($AS14,$X$3:$AQ$3,0)),
  INDEX($X$4:$AQ$21,,MATCH(BB$3,$X$3:$AQ$3,0))
)</f>
        <v>-4.3067247504554214E-2</v>
      </c>
      <c r="BC14" s="21">
        <f ca="1">CORREL(
  INDEX($X$4:$AQ$21,,MATCH($AS14,$X$3:$AQ$3,0)),
  INDEX($X$4:$AQ$21,,MATCH(BC$3,$X$3:$AQ$3,0))
)</f>
        <v>7.9423224373751974E-2</v>
      </c>
      <c r="BD14" s="21">
        <f ca="1">CORREL(
  INDEX($X$4:$AQ$21,,MATCH($AS14,$X$3:$AQ$3,0)),
  INDEX($X$4:$AQ$21,,MATCH(BD$3,$X$3:$AQ$3,0))
)</f>
        <v>1.0000000000000002</v>
      </c>
      <c r="BE14" s="21">
        <f ca="1">CORREL(
  INDEX($X$4:$AQ$21,,MATCH($AS14,$X$3:$AQ$3,0)),
  INDEX($X$4:$AQ$21,,MATCH(BE$3,$X$3:$AQ$3,0))
)</f>
        <v>-0.50997131435996423</v>
      </c>
      <c r="BF14" s="21">
        <f ca="1">CORREL(
  INDEX($X$4:$AQ$21,,MATCH($AS14,$X$3:$AQ$3,0)),
  INDEX($X$4:$AQ$21,,MATCH(BF$3,$X$3:$AQ$3,0))
)</f>
        <v>-0.25159337706931739</v>
      </c>
      <c r="BG14" s="21">
        <f ca="1">CORREL(
  INDEX($X$4:$AQ$21,,MATCH($AS14,$X$3:$AQ$3,0)),
  INDEX($X$4:$AQ$21,,MATCH(BG$3,$X$3:$AQ$3,0))
)</f>
        <v>0.80934501101085343</v>
      </c>
      <c r="BH14" s="21">
        <f ca="1">CORREL(
  INDEX($X$4:$AQ$21,,MATCH($AS14,$X$3:$AQ$3,0)),
  INDEX($X$4:$AQ$21,,MATCH(BH$3,$X$3:$AQ$3,0))
)</f>
        <v>0.74472119184269558</v>
      </c>
      <c r="BI14" s="21">
        <f ca="1">CORREL(
  INDEX($X$4:$AQ$21,,MATCH($AS14,$X$3:$AQ$3,0)),
  INDEX($X$4:$AQ$21,,MATCH(BI$3,$X$3:$AQ$3,0))
)</f>
        <v>0.34762519376362067</v>
      </c>
      <c r="BJ14" s="21">
        <f ca="1">CORREL(
  INDEX($X$4:$AQ$21,,MATCH($AS14,$X$3:$AQ$3,0)),
  INDEX($X$4:$AQ$21,,MATCH(BJ$3,$X$3:$AQ$3,0))
)</f>
        <v>0.35821509988503825</v>
      </c>
      <c r="BK14" s="21">
        <f ca="1">CORREL(
  INDEX($X$4:$AQ$21,,MATCH($AS14,$X$3:$AQ$3,0)),
  INDEX($X$4:$AQ$21,,MATCH(BK$3,$X$3:$AQ$3,0))
)</f>
        <v>-7.5046494265152697E-2</v>
      </c>
      <c r="BL14" s="21">
        <f ca="1">CORREL(
  INDEX($X$4:$AQ$21,,MATCH($AS14,$X$3:$AQ$3,0)),
  INDEX($X$4:$AQ$21,,MATCH(BL$3,$X$3:$AQ$3,0))
)</f>
        <v>-0.3979550761156001</v>
      </c>
      <c r="BM14" s="22">
        <f ca="1">CORREL(
  INDEX($X$4:$AQ$21,,MATCH($AS14,$X$3:$AQ$3,0)),
  INDEX($X$4:$AQ$21,,MATCH(BM$3,$X$3:$AQ$3,0))
)</f>
        <v>-7.4897687445196773E-2</v>
      </c>
    </row>
    <row r="15" spans="1:65" x14ac:dyDescent="0.3">
      <c r="A15" vm="251">
        <f ca="1"/>
        <v>46013</v>
      </c>
      <c r="B15" vm="252">
        <f ca="1"/>
        <v>183.69</v>
      </c>
      <c r="C15" vm="253">
        <f ca="1"/>
        <v>270.97000000000003</v>
      </c>
      <c r="D15" vm="254">
        <f ca="1"/>
        <v>484.92</v>
      </c>
      <c r="E15" vm="255">
        <f ca="1"/>
        <v>228.43</v>
      </c>
      <c r="F15" vm="256">
        <f ca="1"/>
        <v>309.77999999999997</v>
      </c>
      <c r="G15" vm="257">
        <f ca="1"/>
        <v>311.33</v>
      </c>
      <c r="H15" vm="258">
        <f ca="1"/>
        <v>661.5</v>
      </c>
      <c r="I15" vm="259">
        <f ca="1"/>
        <v>341.45</v>
      </c>
      <c r="J15" vm="260">
        <f ca="1"/>
        <v>488.73</v>
      </c>
      <c r="K15" vm="261">
        <f ca="1"/>
        <v>193.98</v>
      </c>
      <c r="L15" vm="262">
        <f ca="1"/>
        <v>1056.98</v>
      </c>
      <c r="M15" vm="263">
        <f ca="1"/>
        <v>93.23</v>
      </c>
      <c r="N15" vm="264">
        <f ca="1"/>
        <v>850</v>
      </c>
      <c r="O15" vm="265">
        <f ca="1"/>
        <v>214.95</v>
      </c>
      <c r="P15" vm="266">
        <f ca="1"/>
        <v>276.58999999999997</v>
      </c>
      <c r="Q15" vm="267">
        <f ca="1"/>
        <v>78.11</v>
      </c>
      <c r="R15" vm="268">
        <f ca="1"/>
        <v>91.55</v>
      </c>
      <c r="S15" vm="269">
        <f ca="1"/>
        <v>733.6</v>
      </c>
      <c r="T15" vm="270">
        <f ca="1"/>
        <v>195.76</v>
      </c>
      <c r="U15" vm="271">
        <f ca="1"/>
        <v>169.67</v>
      </c>
      <c r="W15" s="7" vm="272">
        <f t="shared" ca="1" si="0"/>
        <v>46014</v>
      </c>
      <c r="X15" s="11">
        <f t="shared" ca="1" si="1"/>
        <v>2.9607955185696779E-2</v>
      </c>
      <c r="Y15" s="11">
        <f ca="1">LN(C16/C15)</f>
        <v>5.116606969895846E-3</v>
      </c>
      <c r="Z15" s="11">
        <f ca="1">LN(D16/D15)</f>
        <v>3.9721385463826718E-3</v>
      </c>
      <c r="AA15" s="11">
        <f ca="1">LN(E16/E15)</f>
        <v>1.6110820272698272E-2</v>
      </c>
      <c r="AB15" s="11">
        <f ca="1">LN(F16/F15)</f>
        <v>1.464464670945752E-2</v>
      </c>
      <c r="AC15" s="11">
        <f ca="1">LN(G16/G15)</f>
        <v>1.3875599409004341E-2</v>
      </c>
      <c r="AD15" s="11">
        <f ca="1">LN(H16/H15)</f>
        <v>5.1868274663629558E-3</v>
      </c>
      <c r="AE15" s="11">
        <f ca="1">LN(I16/I15)</f>
        <v>2.2787152138433915E-2</v>
      </c>
      <c r="AF15" s="11">
        <f ca="1">LN(J16/J15)</f>
        <v>-6.5073257165847677E-3</v>
      </c>
      <c r="AG15" s="11">
        <f ca="1">LN(K16/K15)</f>
        <v>7.7297677188764428E-4</v>
      </c>
      <c r="AH15" s="11">
        <f ca="1">LN(L16/L15)</f>
        <v>4.5874671025977086E-3</v>
      </c>
      <c r="AI15" s="11">
        <f ca="1">LN(M16/M15)</f>
        <v>2.8918779860390141E-3</v>
      </c>
      <c r="AJ15" s="11">
        <f ca="1">LN(N16/N15)</f>
        <v>5.6194752492432437E-3</v>
      </c>
      <c r="AK15" s="11">
        <f ca="1">LN(O16/O15)</f>
        <v>-2.326392938256865E-4</v>
      </c>
      <c r="AL15" s="11">
        <f ca="1">LN(P16/P15)</f>
        <v>-1.15761688577714E-3</v>
      </c>
      <c r="AM15" s="11">
        <f ca="1">LN(Q16/Q15)</f>
        <v>-1.1528855436955133E-3</v>
      </c>
      <c r="AN15" s="11">
        <f ca="1">LN(R16/R15)</f>
        <v>6.4238883872513456E-3</v>
      </c>
      <c r="AO15" s="11">
        <f ca="1">LN(S16/S15)</f>
        <v>-7.0449318422502105E-3</v>
      </c>
      <c r="AP15" s="11">
        <f ca="1">LN(T16/T15)</f>
        <v>9.7095544594219731E-3</v>
      </c>
      <c r="AQ15" s="12">
        <f ca="1">LN(U16/U15)</f>
        <v>-8.254717449863964E-4</v>
      </c>
      <c r="AS15" s="31" t="s">
        <v>27</v>
      </c>
      <c r="AT15" s="21">
        <f ca="1">CORREL(
  INDEX($X$4:$AQ$21,,MATCH($AS15,$X$3:$AQ$3,0)),
  INDEX($X$4:$AQ$21,,MATCH(AT$3,$X$3:$AQ$3,0))
)</f>
        <v>-0.22377278911884133</v>
      </c>
      <c r="AU15" s="21">
        <f ca="1">CORREL(
  INDEX($X$4:$AQ$21,,MATCH($AS15,$X$3:$AQ$3,0)),
  INDEX($X$4:$AQ$21,,MATCH(AU$3,$X$3:$AQ$3,0))
)</f>
        <v>9.6102009247624701E-2</v>
      </c>
      <c r="AV15" s="21">
        <f ca="1">CORREL(
  INDEX($X$4:$AQ$21,,MATCH($AS15,$X$3:$AQ$3,0)),
  INDEX($X$4:$AQ$21,,MATCH(AV$3,$X$3:$AQ$3,0))
)</f>
        <v>0.40558067494817429</v>
      </c>
      <c r="AW15" s="21">
        <f ca="1">CORREL(
  INDEX($X$4:$AQ$21,,MATCH($AS15,$X$3:$AQ$3,0)),
  INDEX($X$4:$AQ$21,,MATCH(AW$3,$X$3:$AQ$3,0))
)</f>
        <v>-2.5994279500358354E-2</v>
      </c>
      <c r="AX15" s="21">
        <f ca="1">CORREL(
  INDEX($X$4:$AQ$21,,MATCH($AS15,$X$3:$AQ$3,0)),
  INDEX($X$4:$AQ$21,,MATCH(AX$3,$X$3:$AQ$3,0))
)</f>
        <v>-0.16007007584597324</v>
      </c>
      <c r="AY15" s="21">
        <f ca="1">CORREL(
  INDEX($X$4:$AQ$21,,MATCH($AS15,$X$3:$AQ$3,0)),
  INDEX($X$4:$AQ$21,,MATCH(AY$3,$X$3:$AQ$3,0))
)</f>
        <v>-0.14299410265725987</v>
      </c>
      <c r="AZ15" s="21">
        <f ca="1">CORREL(
  INDEX($X$4:$AQ$21,,MATCH($AS15,$X$3:$AQ$3,0)),
  INDEX($X$4:$AQ$21,,MATCH(AZ$3,$X$3:$AQ$3,0))
)</f>
        <v>0.21578376294394697</v>
      </c>
      <c r="BA15" s="21">
        <f ca="1">CORREL(
  INDEX($X$4:$AQ$21,,MATCH($AS15,$X$3:$AQ$3,0)),
  INDEX($X$4:$AQ$21,,MATCH(BA$3,$X$3:$AQ$3,0))
)</f>
        <v>-0.31333162937808257</v>
      </c>
      <c r="BB15" s="21">
        <f ca="1">CORREL(
  INDEX($X$4:$AQ$21,,MATCH($AS15,$X$3:$AQ$3,0)),
  INDEX($X$4:$AQ$21,,MATCH(BB$3,$X$3:$AQ$3,0))
)</f>
        <v>6.2623339275283352E-2</v>
      </c>
      <c r="BC15" s="21">
        <f ca="1">CORREL(
  INDEX($X$4:$AQ$21,,MATCH($AS15,$X$3:$AQ$3,0)),
  INDEX($X$4:$AQ$21,,MATCH(BC$3,$X$3:$AQ$3,0))
)</f>
        <v>-7.2767492318209212E-2</v>
      </c>
      <c r="BD15" s="21">
        <f ca="1">CORREL(
  INDEX($X$4:$AQ$21,,MATCH($AS15,$X$3:$AQ$3,0)),
  INDEX($X$4:$AQ$21,,MATCH(BD$3,$X$3:$AQ$3,0))
)</f>
        <v>-0.50997131435996423</v>
      </c>
      <c r="BE15" s="21">
        <f ca="1">CORREL(
  INDEX($X$4:$AQ$21,,MATCH($AS15,$X$3:$AQ$3,0)),
  INDEX($X$4:$AQ$21,,MATCH(BE$3,$X$3:$AQ$3,0))
)</f>
        <v>1.0000000000000002</v>
      </c>
      <c r="BF15" s="21">
        <f ca="1">CORREL(
  INDEX($X$4:$AQ$21,,MATCH($AS15,$X$3:$AQ$3,0)),
  INDEX($X$4:$AQ$21,,MATCH(BF$3,$X$3:$AQ$3,0))
)</f>
        <v>0.64213280302210629</v>
      </c>
      <c r="BG15" s="21">
        <f ca="1">CORREL(
  INDEX($X$4:$AQ$21,,MATCH($AS15,$X$3:$AQ$3,0)),
  INDEX($X$4:$AQ$21,,MATCH(BG$3,$X$3:$AQ$3,0))
)</f>
        <v>-0.27787925188922402</v>
      </c>
      <c r="BH15" s="21">
        <f ca="1">CORREL(
  INDEX($X$4:$AQ$21,,MATCH($AS15,$X$3:$AQ$3,0)),
  INDEX($X$4:$AQ$21,,MATCH(BH$3,$X$3:$AQ$3,0))
)</f>
        <v>-0.56124757155146188</v>
      </c>
      <c r="BI15" s="21">
        <f ca="1">CORREL(
  INDEX($X$4:$AQ$21,,MATCH($AS15,$X$3:$AQ$3,0)),
  INDEX($X$4:$AQ$21,,MATCH(BI$3,$X$3:$AQ$3,0))
)</f>
        <v>-0.36006461602941475</v>
      </c>
      <c r="BJ15" s="21">
        <f ca="1">CORREL(
  INDEX($X$4:$AQ$21,,MATCH($AS15,$X$3:$AQ$3,0)),
  INDEX($X$4:$AQ$21,,MATCH(BJ$3,$X$3:$AQ$3,0))
)</f>
        <v>-0.54963975009379085</v>
      </c>
      <c r="BK15" s="21">
        <f ca="1">CORREL(
  INDEX($X$4:$AQ$21,,MATCH($AS15,$X$3:$AQ$3,0)),
  INDEX($X$4:$AQ$21,,MATCH(BK$3,$X$3:$AQ$3,0))
)</f>
        <v>0.20996139116155541</v>
      </c>
      <c r="BL15" s="21">
        <f ca="1">CORREL(
  INDEX($X$4:$AQ$21,,MATCH($AS15,$X$3:$AQ$3,0)),
  INDEX($X$4:$AQ$21,,MATCH(BL$3,$X$3:$AQ$3,0))
)</f>
        <v>0.69575174249838534</v>
      </c>
      <c r="BM15" s="22">
        <f ca="1">CORREL(
  INDEX($X$4:$AQ$21,,MATCH($AS15,$X$3:$AQ$3,0)),
  INDEX($X$4:$AQ$21,,MATCH(BM$3,$X$3:$AQ$3,0))
)</f>
        <v>-0.13909203178708734</v>
      </c>
    </row>
    <row r="16" spans="1:65" x14ac:dyDescent="0.3">
      <c r="A16" vm="272">
        <f ca="1"/>
        <v>46014</v>
      </c>
      <c r="B16" vm="273">
        <f ca="1"/>
        <v>189.21</v>
      </c>
      <c r="C16" vm="274">
        <f ca="1"/>
        <v>272.36</v>
      </c>
      <c r="D16" vm="275">
        <f ca="1"/>
        <v>486.85</v>
      </c>
      <c r="E16" vm="276">
        <f ca="1"/>
        <v>232.14</v>
      </c>
      <c r="F16" vm="277">
        <f ca="1"/>
        <v>314.35000000000002</v>
      </c>
      <c r="G16" vm="278">
        <f ca="1"/>
        <v>315.68</v>
      </c>
      <c r="H16" vm="279">
        <f ca="1"/>
        <v>664.94</v>
      </c>
      <c r="I16" vm="280">
        <f ca="1"/>
        <v>349.32</v>
      </c>
      <c r="J16" vm="281">
        <f ca="1"/>
        <v>485.56</v>
      </c>
      <c r="K16" vm="282">
        <f ca="1"/>
        <v>194.13</v>
      </c>
      <c r="L16" vm="283">
        <f ca="1"/>
        <v>1061.8399999999999</v>
      </c>
      <c r="M16" vm="284">
        <f ca="1"/>
        <v>93.5</v>
      </c>
      <c r="N16" vm="285">
        <f ca="1"/>
        <v>854.79</v>
      </c>
      <c r="O16" vm="286">
        <f ca="1"/>
        <v>214.9</v>
      </c>
      <c r="P16" vm="287">
        <f ca="1"/>
        <v>276.27</v>
      </c>
      <c r="Q16" vm="288">
        <f ca="1"/>
        <v>78.02</v>
      </c>
      <c r="R16" vm="289">
        <f ca="1"/>
        <v>92.14</v>
      </c>
      <c r="S16" vm="290">
        <f ca="1"/>
        <v>728.45</v>
      </c>
      <c r="T16" vm="291">
        <f ca="1"/>
        <v>197.67</v>
      </c>
      <c r="U16" vm="292">
        <f ca="1"/>
        <v>169.53</v>
      </c>
      <c r="W16" s="7" vm="293">
        <f t="shared" ca="1" si="0"/>
        <v>46015</v>
      </c>
      <c r="X16" s="11">
        <f t="shared" ca="1" si="1"/>
        <v>-3.1761182805900893E-3</v>
      </c>
      <c r="Y16" s="11">
        <f ca="1">LN(C17/C16)</f>
        <v>5.3097145821295851E-3</v>
      </c>
      <c r="Z16" s="11">
        <f ca="1">LN(D17/D16)</f>
        <v>2.4003211951340825E-3</v>
      </c>
      <c r="AA16" s="11">
        <f ca="1">LN(E17/E16)</f>
        <v>1.0333248142393491E-3</v>
      </c>
      <c r="AB16" s="11">
        <f ca="1">LN(F17/F16)</f>
        <v>-8.2744578586494658E-4</v>
      </c>
      <c r="AC16" s="11">
        <f ca="1">LN(G17/G16)</f>
        <v>-3.1678149998700246E-5</v>
      </c>
      <c r="AD16" s="11">
        <f ca="1">LN(H17/H16)</f>
        <v>3.9174828147305616E-3</v>
      </c>
      <c r="AE16" s="11">
        <f ca="1">LN(I17/I16)</f>
        <v>2.5731208982226156E-3</v>
      </c>
      <c r="AF16" s="11">
        <f ca="1">LN(J17/J16)</f>
        <v>-3.2957073710190474E-4</v>
      </c>
      <c r="AG16" s="11">
        <f ca="1">LN(K17/K16)</f>
        <v>2.0602626907799304E-4</v>
      </c>
      <c r="AH16" s="11">
        <f ca="1">LN(L17/L16)</f>
        <v>3.4596905748282961E-3</v>
      </c>
      <c r="AI16" s="11">
        <f ca="1">LN(M17/M16)</f>
        <v>1.4962063280686722E-3</v>
      </c>
      <c r="AJ16" s="11">
        <f ca="1">LN(N17/N16)</f>
        <v>1.9773035827054114E-2</v>
      </c>
      <c r="AK16" s="11">
        <f ca="1">LN(O17/O16)</f>
        <v>6.5125368631999267E-4</v>
      </c>
      <c r="AL16" s="11">
        <f ca="1">LN(P17/P16)</f>
        <v>3.6987962724333245E-2</v>
      </c>
      <c r="AM16" s="11">
        <f ca="1">LN(Q17/Q16)</f>
        <v>0</v>
      </c>
      <c r="AN16" s="11">
        <f ca="1">LN(R17/R16)</f>
        <v>3.3587983253628799E-3</v>
      </c>
      <c r="AO16" s="11">
        <f ca="1">LN(S17/S16)</f>
        <v>-1.3049900543573778E-3</v>
      </c>
      <c r="AP16" s="11">
        <f ca="1">LN(T17/T16)</f>
        <v>6.806348593177909E-3</v>
      </c>
      <c r="AQ16" s="12">
        <f ca="1">LN(U17/U16)</f>
        <v>-4.7200425680137649E-4</v>
      </c>
      <c r="AS16" s="31" t="s">
        <v>29</v>
      </c>
      <c r="AT16" s="21">
        <f ca="1">CORREL(
  INDEX($X$4:$AQ$21,,MATCH($AS16,$X$3:$AQ$3,0)),
  INDEX($X$4:$AQ$21,,MATCH(AT$3,$X$3:$AQ$3,0))
)</f>
        <v>-0.17939627573587202</v>
      </c>
      <c r="AU16" s="21">
        <f ca="1">CORREL(
  INDEX($X$4:$AQ$21,,MATCH($AS16,$X$3:$AQ$3,0)),
  INDEX($X$4:$AQ$21,,MATCH(AU$3,$X$3:$AQ$3,0))
)</f>
        <v>0.43616264672718308</v>
      </c>
      <c r="AV16" s="21">
        <f ca="1">CORREL(
  INDEX($X$4:$AQ$21,,MATCH($AS16,$X$3:$AQ$3,0)),
  INDEX($X$4:$AQ$21,,MATCH(AV$3,$X$3:$AQ$3,0))
)</f>
        <v>0.41415280351826678</v>
      </c>
      <c r="AW16" s="21">
        <f ca="1">CORREL(
  INDEX($X$4:$AQ$21,,MATCH($AS16,$X$3:$AQ$3,0)),
  INDEX($X$4:$AQ$21,,MATCH(AW$3,$X$3:$AQ$3,0))
)</f>
        <v>0.14254119636486748</v>
      </c>
      <c r="AX16" s="21">
        <f ca="1">CORREL(
  INDEX($X$4:$AQ$21,,MATCH($AS16,$X$3:$AQ$3,0)),
  INDEX($X$4:$AQ$21,,MATCH(AX$3,$X$3:$AQ$3,0))
)</f>
        <v>-0.19023316004430724</v>
      </c>
      <c r="AY16" s="21">
        <f ca="1">CORREL(
  INDEX($X$4:$AQ$21,,MATCH($AS16,$X$3:$AQ$3,0)),
  INDEX($X$4:$AQ$21,,MATCH(AY$3,$X$3:$AQ$3,0))
)</f>
        <v>-0.16871819387411852</v>
      </c>
      <c r="AZ16" s="21">
        <f ca="1">CORREL(
  INDEX($X$4:$AQ$21,,MATCH($AS16,$X$3:$AQ$3,0)),
  INDEX($X$4:$AQ$21,,MATCH(AZ$3,$X$3:$AQ$3,0))
)</f>
        <v>8.0584095239068454E-2</v>
      </c>
      <c r="BA16" s="21">
        <f ca="1">CORREL(
  INDEX($X$4:$AQ$21,,MATCH($AS16,$X$3:$AQ$3,0)),
  INDEX($X$4:$AQ$21,,MATCH(BA$3,$X$3:$AQ$3,0))
)</f>
        <v>9.268228874403231E-2</v>
      </c>
      <c r="BB16" s="21">
        <f ca="1">CORREL(
  INDEX($X$4:$AQ$21,,MATCH($AS16,$X$3:$AQ$3,0)),
  INDEX($X$4:$AQ$21,,MATCH(BB$3,$X$3:$AQ$3,0))
)</f>
        <v>-0.25299699557466937</v>
      </c>
      <c r="BC16" s="21">
        <f ca="1">CORREL(
  INDEX($X$4:$AQ$21,,MATCH($AS16,$X$3:$AQ$3,0)),
  INDEX($X$4:$AQ$21,,MATCH(BC$3,$X$3:$AQ$3,0))
)</f>
        <v>-9.6293625407709291E-2</v>
      </c>
      <c r="BD16" s="21">
        <f ca="1">CORREL(
  INDEX($X$4:$AQ$21,,MATCH($AS16,$X$3:$AQ$3,0)),
  INDEX($X$4:$AQ$21,,MATCH(BD$3,$X$3:$AQ$3,0))
)</f>
        <v>-0.25159337706931739</v>
      </c>
      <c r="BE16" s="21">
        <f ca="1">CORREL(
  INDEX($X$4:$AQ$21,,MATCH($AS16,$X$3:$AQ$3,0)),
  INDEX($X$4:$AQ$21,,MATCH(BE$3,$X$3:$AQ$3,0))
)</f>
        <v>0.64213280302210629</v>
      </c>
      <c r="BF16" s="21">
        <f ca="1">CORREL(
  INDEX($X$4:$AQ$21,,MATCH($AS16,$X$3:$AQ$3,0)),
  INDEX($X$4:$AQ$21,,MATCH(BF$3,$X$3:$AQ$3,0))
)</f>
        <v>0.99999999999999989</v>
      </c>
      <c r="BG16" s="21">
        <f ca="1">CORREL(
  INDEX($X$4:$AQ$21,,MATCH($AS16,$X$3:$AQ$3,0)),
  INDEX($X$4:$AQ$21,,MATCH(BG$3,$X$3:$AQ$3,0))
)</f>
        <v>-8.9351332971355557E-2</v>
      </c>
      <c r="BH16" s="21">
        <f ca="1">CORREL(
  INDEX($X$4:$AQ$21,,MATCH($AS16,$X$3:$AQ$3,0)),
  INDEX($X$4:$AQ$21,,MATCH(BH$3,$X$3:$AQ$3,0))
)</f>
        <v>-0.1843909446335299</v>
      </c>
      <c r="BI16" s="21">
        <f ca="1">CORREL(
  INDEX($X$4:$AQ$21,,MATCH($AS16,$X$3:$AQ$3,0)),
  INDEX($X$4:$AQ$21,,MATCH(BI$3,$X$3:$AQ$3,0))
)</f>
        <v>-0.29596780494452829</v>
      </c>
      <c r="BJ16" s="21">
        <f ca="1">CORREL(
  INDEX($X$4:$AQ$21,,MATCH($AS16,$X$3:$AQ$3,0)),
  INDEX($X$4:$AQ$21,,MATCH(BJ$3,$X$3:$AQ$3,0))
)</f>
        <v>-0.53920027730613573</v>
      </c>
      <c r="BK16" s="21">
        <f ca="1">CORREL(
  INDEX($X$4:$AQ$21,,MATCH($AS16,$X$3:$AQ$3,0)),
  INDEX($X$4:$AQ$21,,MATCH(BK$3,$X$3:$AQ$3,0))
)</f>
        <v>0.10523831363641471</v>
      </c>
      <c r="BL16" s="21">
        <f ca="1">CORREL(
  INDEX($X$4:$AQ$21,,MATCH($AS16,$X$3:$AQ$3,0)),
  INDEX($X$4:$AQ$21,,MATCH(BL$3,$X$3:$AQ$3,0))
)</f>
        <v>0.34575975634043943</v>
      </c>
      <c r="BM16" s="22">
        <f ca="1">CORREL(
  INDEX($X$4:$AQ$21,,MATCH($AS16,$X$3:$AQ$3,0)),
  INDEX($X$4:$AQ$21,,MATCH(BM$3,$X$3:$AQ$3,0))
)</f>
        <v>-1.5942243823029657E-2</v>
      </c>
    </row>
    <row r="17" spans="1:65" x14ac:dyDescent="0.3">
      <c r="A17" vm="293">
        <f ca="1"/>
        <v>46015</v>
      </c>
      <c r="B17" vm="294">
        <f ca="1"/>
        <v>188.61</v>
      </c>
      <c r="C17" vm="295">
        <f ca="1"/>
        <v>273.81</v>
      </c>
      <c r="D17" vm="296">
        <f ca="1"/>
        <v>488.02</v>
      </c>
      <c r="E17" vm="297">
        <f ca="1"/>
        <v>232.38</v>
      </c>
      <c r="F17" vm="298">
        <f ca="1"/>
        <v>314.08999999999997</v>
      </c>
      <c r="G17" vm="299">
        <f ca="1"/>
        <v>315.67</v>
      </c>
      <c r="H17" vm="300">
        <f ca="1"/>
        <v>667.55</v>
      </c>
      <c r="I17" vm="301">
        <f ca="1"/>
        <v>350.22</v>
      </c>
      <c r="J17" vm="302">
        <f ca="1"/>
        <v>485.4</v>
      </c>
      <c r="K17" vm="303">
        <f ca="1"/>
        <v>194.17</v>
      </c>
      <c r="L17" vm="304">
        <f ca="1"/>
        <v>1065.52</v>
      </c>
      <c r="M17" vm="305">
        <f ca="1"/>
        <v>93.64</v>
      </c>
      <c r="N17" vm="306">
        <f ca="1"/>
        <v>871.86</v>
      </c>
      <c r="O17" vm="307">
        <f ca="1"/>
        <v>215.04</v>
      </c>
      <c r="P17" vm="308">
        <f ca="1"/>
        <v>286.68</v>
      </c>
      <c r="Q17" vm="288">
        <f ca="1"/>
        <v>78.02</v>
      </c>
      <c r="R17" vm="309">
        <f ca="1"/>
        <v>92.45</v>
      </c>
      <c r="S17" vm="310">
        <f ca="1"/>
        <v>727.5</v>
      </c>
      <c r="T17" vm="311">
        <f ca="1"/>
        <v>199.02</v>
      </c>
      <c r="U17" vm="312">
        <f ca="1"/>
        <v>169.45</v>
      </c>
      <c r="W17" s="7" vm="313">
        <f t="shared" ca="1" si="0"/>
        <v>46017</v>
      </c>
      <c r="X17" s="11">
        <f t="shared" ca="1" si="1"/>
        <v>1.0128271419913706E-2</v>
      </c>
      <c r="Y17" s="11">
        <f ca="1">LN(C18/C17)</f>
        <v>-1.4985109070465431E-3</v>
      </c>
      <c r="Z17" s="11">
        <f ca="1">LN(D18/D17)</f>
        <v>-6.3542170565724005E-4</v>
      </c>
      <c r="AA17" s="11">
        <f ca="1">LN(E18/E17)</f>
        <v>6.02280078434131E-4</v>
      </c>
      <c r="AB17" s="11">
        <f ca="1">LN(F18/F17)</f>
        <v>-1.8483115523231456E-3</v>
      </c>
      <c r="AC17" s="11">
        <f ca="1">LN(G18/G17)</f>
        <v>-2.25171748882461E-3</v>
      </c>
      <c r="AD17" s="11">
        <f ca="1">LN(H18/H17)</f>
        <v>-6.4019935527188186E-3</v>
      </c>
      <c r="AE17" s="11">
        <f ca="1">LN(I18/I17)</f>
        <v>5.4388971549874151E-3</v>
      </c>
      <c r="AF17" s="11">
        <f ca="1">LN(J18/J17)</f>
        <v>-2.125856923653283E-2</v>
      </c>
      <c r="AG17" s="11">
        <f ca="1">LN(K18/K17)</f>
        <v>-2.8522618865357924E-2</v>
      </c>
      <c r="AH17" s="11">
        <f ca="1">LN(L18/L17)</f>
        <v>6.7625019788590214E-3</v>
      </c>
      <c r="AI17" s="11">
        <f ca="1">LN(M18/M17)</f>
        <v>8.8246811583329674E-3</v>
      </c>
      <c r="AJ17" s="11">
        <f ca="1">LN(N18/N17)</f>
        <v>1.7075313137423626E-3</v>
      </c>
      <c r="AK17" s="11">
        <f ca="1">LN(O18/O17)</f>
        <v>-2.325419167281549E-4</v>
      </c>
      <c r="AL17" s="11">
        <f ca="1">LN(P18/P17)</f>
        <v>-6.6145445639016068E-3</v>
      </c>
      <c r="AM17" s="11">
        <f ca="1">LN(Q18/Q17)</f>
        <v>1.7928036560169089E-3</v>
      </c>
      <c r="AN17" s="11">
        <f ca="1">LN(R18/R17)</f>
        <v>4.8556879866589525E-3</v>
      </c>
      <c r="AO17" s="11">
        <f ca="1">LN(S18/S17)</f>
        <v>-1.8408959726881644E-2</v>
      </c>
      <c r="AP17" s="11">
        <f ca="1">LN(T18/T17)</f>
        <v>9.8995858720596335E-3</v>
      </c>
      <c r="AQ17" s="12">
        <f ca="1">LN(U18/U17)</f>
        <v>8.1110119059059384E-3</v>
      </c>
      <c r="AS17" s="31" t="s">
        <v>2</v>
      </c>
      <c r="AT17" s="21">
        <f ca="1">CORREL(
  INDEX($X$4:$AQ$21,,MATCH($AS17,$X$3:$AQ$3,0)),
  INDEX($X$4:$AQ$21,,MATCH(AT$3,$X$3:$AQ$3,0))
)</f>
        <v>0.81095783431475876</v>
      </c>
      <c r="AU17" s="21">
        <f ca="1">CORREL(
  INDEX($X$4:$AQ$21,,MATCH($AS17,$X$3:$AQ$3,0)),
  INDEX($X$4:$AQ$21,,MATCH(AU$3,$X$3:$AQ$3,0))
)</f>
        <v>0.35322753953546238</v>
      </c>
      <c r="AV17" s="21">
        <f ca="1">CORREL(
  INDEX($X$4:$AQ$21,,MATCH($AS17,$X$3:$AQ$3,0)),
  INDEX($X$4:$AQ$21,,MATCH(AV$3,$X$3:$AQ$3,0))
)</f>
        <v>0.10562764148631824</v>
      </c>
      <c r="AW17" s="21">
        <f ca="1">CORREL(
  INDEX($X$4:$AQ$21,,MATCH($AS17,$X$3:$AQ$3,0)),
  INDEX($X$4:$AQ$21,,MATCH(AW$3,$X$3:$AQ$3,0))
)</f>
        <v>0.20399932585734673</v>
      </c>
      <c r="AX17" s="21">
        <f ca="1">CORREL(
  INDEX($X$4:$AQ$21,,MATCH($AS17,$X$3:$AQ$3,0)),
  INDEX($X$4:$AQ$21,,MATCH(AX$3,$X$3:$AQ$3,0))
)</f>
        <v>0.55732883725725857</v>
      </c>
      <c r="AY17" s="21">
        <f ca="1">CORREL(
  INDEX($X$4:$AQ$21,,MATCH($AS17,$X$3:$AQ$3,0)),
  INDEX($X$4:$AQ$21,,MATCH(AY$3,$X$3:$AQ$3,0))
)</f>
        <v>0.55398452899078809</v>
      </c>
      <c r="AZ17" s="21">
        <f ca="1">CORREL(
  INDEX($X$4:$AQ$21,,MATCH($AS17,$X$3:$AQ$3,0)),
  INDEX($X$4:$AQ$21,,MATCH(AZ$3,$X$3:$AQ$3,0))
)</f>
        <v>8.9726000137488174E-2</v>
      </c>
      <c r="BA17" s="21">
        <f ca="1">CORREL(
  INDEX($X$4:$AQ$21,,MATCH($AS17,$X$3:$AQ$3,0)),
  INDEX($X$4:$AQ$21,,MATCH(BA$3,$X$3:$AQ$3,0))
)</f>
        <v>0.75529977911319501</v>
      </c>
      <c r="BB17" s="21">
        <f ca="1">CORREL(
  INDEX($X$4:$AQ$21,,MATCH($AS17,$X$3:$AQ$3,0)),
  INDEX($X$4:$AQ$21,,MATCH(BB$3,$X$3:$AQ$3,0))
)</f>
        <v>-2.4208993813441899E-2</v>
      </c>
      <c r="BC17" s="21">
        <f ca="1">CORREL(
  INDEX($X$4:$AQ$21,,MATCH($AS17,$X$3:$AQ$3,0)),
  INDEX($X$4:$AQ$21,,MATCH(BC$3,$X$3:$AQ$3,0))
)</f>
        <v>0.40585301302266341</v>
      </c>
      <c r="BD17" s="21">
        <f ca="1">CORREL(
  INDEX($X$4:$AQ$21,,MATCH($AS17,$X$3:$AQ$3,0)),
  INDEX($X$4:$AQ$21,,MATCH(BD$3,$X$3:$AQ$3,0))
)</f>
        <v>0.80934501101085343</v>
      </c>
      <c r="BE17" s="21">
        <f ca="1">CORREL(
  INDEX($X$4:$AQ$21,,MATCH($AS17,$X$3:$AQ$3,0)),
  INDEX($X$4:$AQ$21,,MATCH(BE$3,$X$3:$AQ$3,0))
)</f>
        <v>-0.27787925188922402</v>
      </c>
      <c r="BF17" s="21">
        <f ca="1">CORREL(
  INDEX($X$4:$AQ$21,,MATCH($AS17,$X$3:$AQ$3,0)),
  INDEX($X$4:$AQ$21,,MATCH(BF$3,$X$3:$AQ$3,0))
)</f>
        <v>-8.9351332971355557E-2</v>
      </c>
      <c r="BG17" s="21">
        <f ca="1">CORREL(
  INDEX($X$4:$AQ$21,,MATCH($AS17,$X$3:$AQ$3,0)),
  INDEX($X$4:$AQ$21,,MATCH(BG$3,$X$3:$AQ$3,0))
)</f>
        <v>0.99999999999999978</v>
      </c>
      <c r="BH17" s="21">
        <f ca="1">CORREL(
  INDEX($X$4:$AQ$21,,MATCH($AS17,$X$3:$AQ$3,0)),
  INDEX($X$4:$AQ$21,,MATCH(BH$3,$X$3:$AQ$3,0))
)</f>
        <v>0.77616307744433632</v>
      </c>
      <c r="BI17" s="21">
        <f ca="1">CORREL(
  INDEX($X$4:$AQ$21,,MATCH($AS17,$X$3:$AQ$3,0)),
  INDEX($X$4:$AQ$21,,MATCH(BI$3,$X$3:$AQ$3,0))
)</f>
        <v>0.5820484038540702</v>
      </c>
      <c r="BJ17" s="21">
        <f ca="1">CORREL(
  INDEX($X$4:$AQ$21,,MATCH($AS17,$X$3:$AQ$3,0)),
  INDEX($X$4:$AQ$21,,MATCH(BJ$3,$X$3:$AQ$3,0))
)</f>
        <v>0.30494631930886879</v>
      </c>
      <c r="BK17" s="21">
        <f ca="1">CORREL(
  INDEX($X$4:$AQ$21,,MATCH($AS17,$X$3:$AQ$3,0)),
  INDEX($X$4:$AQ$21,,MATCH(BK$3,$X$3:$AQ$3,0))
)</f>
        <v>0.29718177482919944</v>
      </c>
      <c r="BL17" s="21">
        <f ca="1">CORREL(
  INDEX($X$4:$AQ$21,,MATCH($AS17,$X$3:$AQ$3,0)),
  INDEX($X$4:$AQ$21,,MATCH(BL$3,$X$3:$AQ$3,0))
)</f>
        <v>-0.41148698501739128</v>
      </c>
      <c r="BM17" s="22">
        <f ca="1">CORREL(
  INDEX($X$4:$AQ$21,,MATCH($AS17,$X$3:$AQ$3,0)),
  INDEX($X$4:$AQ$21,,MATCH(BM$3,$X$3:$AQ$3,0))
)</f>
        <v>0.15604410242463468</v>
      </c>
    </row>
    <row r="18" spans="1:65" x14ac:dyDescent="0.3">
      <c r="A18" vm="313">
        <f ca="1"/>
        <v>46017</v>
      </c>
      <c r="B18" vm="314">
        <f ca="1"/>
        <v>190.53</v>
      </c>
      <c r="C18" vm="315">
        <f ca="1"/>
        <v>273.39999999999998</v>
      </c>
      <c r="D18" vm="316">
        <f ca="1"/>
        <v>487.71</v>
      </c>
      <c r="E18" vm="317">
        <f ca="1"/>
        <v>232.52</v>
      </c>
      <c r="F18" vm="318">
        <f ca="1"/>
        <v>313.51</v>
      </c>
      <c r="G18" vm="319">
        <f ca="1"/>
        <v>314.95999999999998</v>
      </c>
      <c r="H18" vm="320">
        <f ca="1"/>
        <v>663.29</v>
      </c>
      <c r="I18" vm="321">
        <f ca="1"/>
        <v>352.13</v>
      </c>
      <c r="J18" vm="322">
        <f ca="1"/>
        <v>475.19</v>
      </c>
      <c r="K18" vm="323">
        <f ca="1"/>
        <v>188.71</v>
      </c>
      <c r="L18" vm="324">
        <f ca="1"/>
        <v>1072.75</v>
      </c>
      <c r="M18" vm="325">
        <f ca="1"/>
        <v>94.47</v>
      </c>
      <c r="N18" vm="326">
        <f ca="1"/>
        <v>873.35</v>
      </c>
      <c r="O18" vm="327">
        <f ca="1"/>
        <v>214.99</v>
      </c>
      <c r="P18" vm="328">
        <f ca="1"/>
        <v>284.79000000000002</v>
      </c>
      <c r="Q18" vm="329">
        <f ca="1"/>
        <v>78.16</v>
      </c>
      <c r="R18" vm="330">
        <f ca="1"/>
        <v>92.9</v>
      </c>
      <c r="S18" vm="331">
        <f ca="1"/>
        <v>714.23</v>
      </c>
      <c r="T18" vm="332">
        <f ca="1"/>
        <v>201</v>
      </c>
      <c r="U18" vm="333">
        <f ca="1"/>
        <v>170.83</v>
      </c>
      <c r="W18" s="7" vm="334">
        <f t="shared" ca="1" si="0"/>
        <v>46020</v>
      </c>
      <c r="X18" s="11">
        <f t="shared" ca="1" si="1"/>
        <v>-1.2198171052351379E-2</v>
      </c>
      <c r="Y18" s="11">
        <f ca="1">LN(C19/C18)</f>
        <v>1.3158858540342575E-3</v>
      </c>
      <c r="Z18" s="11">
        <f ca="1">LN(D19/D18)</f>
        <v>-1.2515261017451839E-3</v>
      </c>
      <c r="AA18" s="11">
        <f ca="1">LN(E19/E18)</f>
        <v>-1.9371925384825683E-3</v>
      </c>
      <c r="AB18" s="11">
        <f ca="1">LN(F19/F18)</f>
        <v>1.5947182963942837E-4</v>
      </c>
      <c r="AC18" s="11">
        <f ca="1">LN(G19/G18)</f>
        <v>-1.8113932020477643E-3</v>
      </c>
      <c r="AD18" s="11">
        <f ca="1">LN(H19/H18)</f>
        <v>-6.9592861699211044E-3</v>
      </c>
      <c r="AE18" s="11">
        <f ca="1">LN(I19/I18)</f>
        <v>-7.811648800632438E-3</v>
      </c>
      <c r="AF18" s="11">
        <f ca="1">LN(J19/J18)</f>
        <v>-3.3271149666535153E-2</v>
      </c>
      <c r="AG18" s="11">
        <f ca="1">LN(K19/K18)</f>
        <v>-2.429790484778338E-2</v>
      </c>
      <c r="AH18" s="11">
        <f ca="1">LN(L19/L18)</f>
        <v>-6.3168095883640958E-3</v>
      </c>
      <c r="AI18" s="11">
        <f ca="1">LN(M19/M18)</f>
        <v>-3.3930686778814488E-3</v>
      </c>
      <c r="AJ18" s="11">
        <f ca="1">LN(N19/N18)</f>
        <v>-6.3290260024804618E-3</v>
      </c>
      <c r="AK18" s="11">
        <f ca="1">LN(O19/O18)</f>
        <v>2.8797047304043701E-3</v>
      </c>
      <c r="AL18" s="11">
        <f ca="1">LN(P19/P18)</f>
        <v>3.3085412926611886E-2</v>
      </c>
      <c r="AM18" s="11">
        <f ca="1">LN(Q19/Q18)</f>
        <v>-4.7451195158444244E-3</v>
      </c>
      <c r="AN18" s="11">
        <f ca="1">LN(R19/R18)</f>
        <v>-4.0988084565544911E-3</v>
      </c>
      <c r="AO18" s="11">
        <f ca="1">LN(S19/S18)</f>
        <v>-2.1811840976150371E-2</v>
      </c>
      <c r="AP18" s="11">
        <f ca="1">LN(T19/T18)</f>
        <v>1.0639714374660103E-2</v>
      </c>
      <c r="AQ18" s="12">
        <f ca="1">LN(U19/U18)</f>
        <v>-1.7419471493576196E-2</v>
      </c>
      <c r="AS18" s="31" t="s">
        <v>32</v>
      </c>
      <c r="AT18" s="21">
        <f ca="1">CORREL(
  INDEX($X$4:$AQ$21,,MATCH($AS18,$X$3:$AQ$3,0)),
  INDEX($X$4:$AQ$21,,MATCH(AT$3,$X$3:$AQ$3,0))
)</f>
        <v>0.59557182027774191</v>
      </c>
      <c r="AU18" s="21">
        <f ca="1">CORREL(
  INDEX($X$4:$AQ$21,,MATCH($AS18,$X$3:$AQ$3,0)),
  INDEX($X$4:$AQ$21,,MATCH(AU$3,$X$3:$AQ$3,0))
)</f>
        <v>0.26049284405459938</v>
      </c>
      <c r="AV18" s="21">
        <f ca="1">CORREL(
  INDEX($X$4:$AQ$21,,MATCH($AS18,$X$3:$AQ$3,0)),
  INDEX($X$4:$AQ$21,,MATCH(AV$3,$X$3:$AQ$3,0))
)</f>
        <v>2.0504744993427432E-2</v>
      </c>
      <c r="AW18" s="21">
        <f ca="1">CORREL(
  INDEX($X$4:$AQ$21,,MATCH($AS18,$X$3:$AQ$3,0)),
  INDEX($X$4:$AQ$21,,MATCH(AW$3,$X$3:$AQ$3,0))
)</f>
        <v>0.36625604240068854</v>
      </c>
      <c r="AX18" s="21">
        <f ca="1">CORREL(
  INDEX($X$4:$AQ$21,,MATCH($AS18,$X$3:$AQ$3,0)),
  INDEX($X$4:$AQ$21,,MATCH(AX$3,$X$3:$AQ$3,0))
)</f>
        <v>0.56986269100682674</v>
      </c>
      <c r="AY18" s="21">
        <f ca="1">CORREL(
  INDEX($X$4:$AQ$21,,MATCH($AS18,$X$3:$AQ$3,0)),
  INDEX($X$4:$AQ$21,,MATCH(AY$3,$X$3:$AQ$3,0))
)</f>
        <v>0.56043725747830597</v>
      </c>
      <c r="AZ18" s="21">
        <f ca="1">CORREL(
  INDEX($X$4:$AQ$21,,MATCH($AS18,$X$3:$AQ$3,0)),
  INDEX($X$4:$AQ$21,,MATCH(AZ$3,$X$3:$AQ$3,0))
)</f>
        <v>6.8852965067404098E-2</v>
      </c>
      <c r="BA18" s="21">
        <f ca="1">CORREL(
  INDEX($X$4:$AQ$21,,MATCH($AS18,$X$3:$AQ$3,0)),
  INDEX($X$4:$AQ$21,,MATCH(BA$3,$X$3:$AQ$3,0))
)</f>
        <v>0.66262593652364976</v>
      </c>
      <c r="BB18" s="21">
        <f ca="1">CORREL(
  INDEX($X$4:$AQ$21,,MATCH($AS18,$X$3:$AQ$3,0)),
  INDEX($X$4:$AQ$21,,MATCH(BB$3,$X$3:$AQ$3,0))
)</f>
        <v>-4.792580090660447E-2</v>
      </c>
      <c r="BC18" s="21">
        <f ca="1">CORREL(
  INDEX($X$4:$AQ$21,,MATCH($AS18,$X$3:$AQ$3,0)),
  INDEX($X$4:$AQ$21,,MATCH(BC$3,$X$3:$AQ$3,0))
)</f>
        <v>0.31548968076421263</v>
      </c>
      <c r="BD18" s="21">
        <f ca="1">CORREL(
  INDEX($X$4:$AQ$21,,MATCH($AS18,$X$3:$AQ$3,0)),
  INDEX($X$4:$AQ$21,,MATCH(BD$3,$X$3:$AQ$3,0))
)</f>
        <v>0.74472119184269558</v>
      </c>
      <c r="BE18" s="21">
        <f ca="1">CORREL(
  INDEX($X$4:$AQ$21,,MATCH($AS18,$X$3:$AQ$3,0)),
  INDEX($X$4:$AQ$21,,MATCH(BE$3,$X$3:$AQ$3,0))
)</f>
        <v>-0.56124757155146188</v>
      </c>
      <c r="BF18" s="21">
        <f ca="1">CORREL(
  INDEX($X$4:$AQ$21,,MATCH($AS18,$X$3:$AQ$3,0)),
  INDEX($X$4:$AQ$21,,MATCH(BF$3,$X$3:$AQ$3,0))
)</f>
        <v>-0.1843909446335299</v>
      </c>
      <c r="BG18" s="21">
        <f ca="1">CORREL(
  INDEX($X$4:$AQ$21,,MATCH($AS18,$X$3:$AQ$3,0)),
  INDEX($X$4:$AQ$21,,MATCH(BG$3,$X$3:$AQ$3,0))
)</f>
        <v>0.77616307744433632</v>
      </c>
      <c r="BH18" s="21">
        <f ca="1">CORREL(
  INDEX($X$4:$AQ$21,,MATCH($AS18,$X$3:$AQ$3,0)),
  INDEX($X$4:$AQ$21,,MATCH(BH$3,$X$3:$AQ$3,0))
)</f>
        <v>0.99999999999999989</v>
      </c>
      <c r="BI18" s="21">
        <f ca="1">CORREL(
  INDEX($X$4:$AQ$21,,MATCH($AS18,$X$3:$AQ$3,0)),
  INDEX($X$4:$AQ$21,,MATCH(BI$3,$X$3:$AQ$3,0))
)</f>
        <v>0.5585442972718262</v>
      </c>
      <c r="BJ18" s="21">
        <f ca="1">CORREL(
  INDEX($X$4:$AQ$21,,MATCH($AS18,$X$3:$AQ$3,0)),
  INDEX($X$4:$AQ$21,,MATCH(BJ$3,$X$3:$AQ$3,0))
)</f>
        <v>0.33910312016779737</v>
      </c>
      <c r="BK18" s="21">
        <f ca="1">CORREL(
  INDEX($X$4:$AQ$21,,MATCH($AS18,$X$3:$AQ$3,0)),
  INDEX($X$4:$AQ$21,,MATCH(BK$3,$X$3:$AQ$3,0))
)</f>
        <v>0.23447222369199563</v>
      </c>
      <c r="BL18" s="21">
        <f ca="1">CORREL(
  INDEX($X$4:$AQ$21,,MATCH($AS18,$X$3:$AQ$3,0)),
  INDEX($X$4:$AQ$21,,MATCH(BL$3,$X$3:$AQ$3,0))
)</f>
        <v>-0.4409229875636142</v>
      </c>
      <c r="BM18" s="22">
        <f ca="1">CORREL(
  INDEX($X$4:$AQ$21,,MATCH($AS18,$X$3:$AQ$3,0)),
  INDEX($X$4:$AQ$21,,MATCH(BM$3,$X$3:$AQ$3,0))
)</f>
        <v>0.2906867912427325</v>
      </c>
    </row>
    <row r="19" spans="1:65" x14ac:dyDescent="0.3">
      <c r="A19" vm="334">
        <f ca="1"/>
        <v>46020</v>
      </c>
      <c r="B19" vm="335">
        <f ca="1"/>
        <v>188.22</v>
      </c>
      <c r="C19" vm="336">
        <f ca="1"/>
        <v>273.76</v>
      </c>
      <c r="D19" vm="337">
        <f ca="1"/>
        <v>487.1</v>
      </c>
      <c r="E19" vm="338">
        <f ca="1"/>
        <v>232.07</v>
      </c>
      <c r="F19" vm="339">
        <f ca="1"/>
        <v>313.56</v>
      </c>
      <c r="G19" vm="340">
        <f ca="1"/>
        <v>314.39</v>
      </c>
      <c r="H19" vm="341">
        <f ca="1"/>
        <v>658.69</v>
      </c>
      <c r="I19" vm="342">
        <f ca="1"/>
        <v>349.39</v>
      </c>
      <c r="J19" vm="343">
        <f ca="1"/>
        <v>459.64</v>
      </c>
      <c r="K19" vm="344">
        <f ca="1"/>
        <v>184.18</v>
      </c>
      <c r="L19" vm="345">
        <f ca="1"/>
        <v>1065.9949999999999</v>
      </c>
      <c r="M19" vm="346">
        <f ca="1"/>
        <v>94.15</v>
      </c>
      <c r="N19" vm="347">
        <f ca="1"/>
        <v>867.84</v>
      </c>
      <c r="O19" vm="348">
        <f ca="1"/>
        <v>215.61</v>
      </c>
      <c r="P19" vm="349">
        <f ca="1"/>
        <v>294.37</v>
      </c>
      <c r="Q19" vm="350">
        <f ca="1"/>
        <v>77.790000000000006</v>
      </c>
      <c r="R19" vm="351">
        <f ca="1"/>
        <v>92.52</v>
      </c>
      <c r="S19" vm="352">
        <f ca="1"/>
        <v>698.82</v>
      </c>
      <c r="T19" vm="353">
        <f ca="1"/>
        <v>203.15</v>
      </c>
      <c r="U19" vm="354">
        <f ca="1"/>
        <v>167.88</v>
      </c>
      <c r="W19" s="7" vm="355">
        <f t="shared" ca="1" si="0"/>
        <v>46021</v>
      </c>
      <c r="X19" s="11">
        <f t="shared" ca="1" si="1"/>
        <v>-3.6193354391626667E-3</v>
      </c>
      <c r="Y19" s="11">
        <f ca="1">LN(C20/C19)</f>
        <v>-2.4870175938038587E-3</v>
      </c>
      <c r="Z19" s="11">
        <f ca="1">LN(D20/D19)</f>
        <v>7.7982314280453015E-4</v>
      </c>
      <c r="AA19" s="11">
        <f ca="1">LN(E20/E19)</f>
        <v>1.9801986668625008E-3</v>
      </c>
      <c r="AB19" s="11">
        <f ca="1">LN(F20/F19)</f>
        <v>9.2443544301940136E-4</v>
      </c>
      <c r="AC19" s="11">
        <f ca="1">LN(G20/G19)</f>
        <v>5.0879258260444818E-4</v>
      </c>
      <c r="AD19" s="11">
        <f ca="1">LN(H20/H19)</f>
        <v>1.0961578533575555E-2</v>
      </c>
      <c r="AE19" s="11">
        <f ca="1">LN(I20/I19)</f>
        <v>1.3157143937962861E-3</v>
      </c>
      <c r="AF19" s="11">
        <f ca="1">LN(J20/J19)</f>
        <v>-1.1399688035029425E-2</v>
      </c>
      <c r="AG19" s="11">
        <f ca="1">LN(K20/K19)</f>
        <v>-1.8300877866816626E-2</v>
      </c>
      <c r="AH19" s="11">
        <f ca="1">LN(L20/L19)</f>
        <v>5.7480158353551084E-3</v>
      </c>
      <c r="AI19" s="11">
        <f ca="1">LN(M20/M19)</f>
        <v>-3.9376414417212745E-3</v>
      </c>
      <c r="AJ19" s="11">
        <f ca="1">LN(N20/N19)</f>
        <v>-2.5266960468362655E-3</v>
      </c>
      <c r="AK19" s="11">
        <f ca="1">LN(O20/O19)</f>
        <v>-1.2530457608900514E-3</v>
      </c>
      <c r="AL19" s="11">
        <f ca="1">LN(P20/P19)</f>
        <v>-5.9284671082513243E-3</v>
      </c>
      <c r="AM19" s="11">
        <f ca="1">LN(Q20/Q19)</f>
        <v>-4.8969170020607584E-3</v>
      </c>
      <c r="AN19" s="11">
        <f ca="1">LN(R20/R19)</f>
        <v>-1.0809058001109013E-4</v>
      </c>
      <c r="AO19" s="11">
        <f ca="1">LN(S20/S19)</f>
        <v>-7.3391926018955105E-3</v>
      </c>
      <c r="AP19" s="11">
        <f ca="1">LN(T20/T19)</f>
        <v>3.1944983548887551E-3</v>
      </c>
      <c r="AQ19" s="12">
        <f ca="1">LN(U20/U19)</f>
        <v>-2.4969634517087946E-2</v>
      </c>
      <c r="AS19" s="31" t="s">
        <v>34</v>
      </c>
      <c r="AT19" s="21">
        <f ca="1">CORREL(
  INDEX($X$4:$AQ$21,,MATCH($AS19,$X$3:$AQ$3,0)),
  INDEX($X$4:$AQ$21,,MATCH(AT$3,$X$3:$AQ$3,0))
)</f>
        <v>0.69289935038796546</v>
      </c>
      <c r="AU19" s="21">
        <f ca="1">CORREL(
  INDEX($X$4:$AQ$21,,MATCH($AS19,$X$3:$AQ$3,0)),
  INDEX($X$4:$AQ$21,,MATCH(AU$3,$X$3:$AQ$3,0))
)</f>
        <v>0.2703491527815568</v>
      </c>
      <c r="AV19" s="21">
        <f ca="1">CORREL(
  INDEX($X$4:$AQ$21,,MATCH($AS19,$X$3:$AQ$3,0)),
  INDEX($X$4:$AQ$21,,MATCH(AV$3,$X$3:$AQ$3,0))
)</f>
        <v>0.25146245678997287</v>
      </c>
      <c r="AW19" s="21">
        <f ca="1">CORREL(
  INDEX($X$4:$AQ$21,,MATCH($AS19,$X$3:$AQ$3,0)),
  INDEX($X$4:$AQ$21,,MATCH(AW$3,$X$3:$AQ$3,0))
)</f>
        <v>0.48748322065497945</v>
      </c>
      <c r="AX19" s="21">
        <f ca="1">CORREL(
  INDEX($X$4:$AQ$21,,MATCH($AS19,$X$3:$AQ$3,0)),
  INDEX($X$4:$AQ$21,,MATCH(AX$3,$X$3:$AQ$3,0))
)</f>
        <v>0.54328188575240133</v>
      </c>
      <c r="AY19" s="21">
        <f ca="1">CORREL(
  INDEX($X$4:$AQ$21,,MATCH($AS19,$X$3:$AQ$3,0)),
  INDEX($X$4:$AQ$21,,MATCH(AY$3,$X$3:$AQ$3,0))
)</f>
        <v>0.55472594635831163</v>
      </c>
      <c r="AZ19" s="21">
        <f ca="1">CORREL(
  INDEX($X$4:$AQ$21,,MATCH($AS19,$X$3:$AQ$3,0)),
  INDEX($X$4:$AQ$21,,MATCH(AZ$3,$X$3:$AQ$3,0))
)</f>
        <v>0.1211640684317019</v>
      </c>
      <c r="BA19" s="21">
        <f ca="1">CORREL(
  INDEX($X$4:$AQ$21,,MATCH($AS19,$X$3:$AQ$3,0)),
  INDEX($X$4:$AQ$21,,MATCH(BA$3,$X$3:$AQ$3,0))
)</f>
        <v>0.61163341200894872</v>
      </c>
      <c r="BB19" s="21">
        <f ca="1">CORREL(
  INDEX($X$4:$AQ$21,,MATCH($AS19,$X$3:$AQ$3,0)),
  INDEX($X$4:$AQ$21,,MATCH(BB$3,$X$3:$AQ$3,0))
)</f>
        <v>0.24708267753507876</v>
      </c>
      <c r="BC19" s="21">
        <f ca="1">CORREL(
  INDEX($X$4:$AQ$21,,MATCH($AS19,$X$3:$AQ$3,0)),
  INDEX($X$4:$AQ$21,,MATCH(BC$3,$X$3:$AQ$3,0))
)</f>
        <v>0.71654478559250012</v>
      </c>
      <c r="BD19" s="21">
        <f ca="1">CORREL(
  INDEX($X$4:$AQ$21,,MATCH($AS19,$X$3:$AQ$3,0)),
  INDEX($X$4:$AQ$21,,MATCH(BD$3,$X$3:$AQ$3,0))
)</f>
        <v>0.34762519376362067</v>
      </c>
      <c r="BE19" s="21">
        <f ca="1">CORREL(
  INDEX($X$4:$AQ$21,,MATCH($AS19,$X$3:$AQ$3,0)),
  INDEX($X$4:$AQ$21,,MATCH(BE$3,$X$3:$AQ$3,0))
)</f>
        <v>-0.36006461602941475</v>
      </c>
      <c r="BF19" s="21">
        <f ca="1">CORREL(
  INDEX($X$4:$AQ$21,,MATCH($AS19,$X$3:$AQ$3,0)),
  INDEX($X$4:$AQ$21,,MATCH(BF$3,$X$3:$AQ$3,0))
)</f>
        <v>-0.29596780494452829</v>
      </c>
      <c r="BG19" s="21">
        <f ca="1">CORREL(
  INDEX($X$4:$AQ$21,,MATCH($AS19,$X$3:$AQ$3,0)),
  INDEX($X$4:$AQ$21,,MATCH(BG$3,$X$3:$AQ$3,0))
)</f>
        <v>0.5820484038540702</v>
      </c>
      <c r="BH19" s="21">
        <f ca="1">CORREL(
  INDEX($X$4:$AQ$21,,MATCH($AS19,$X$3:$AQ$3,0)),
  INDEX($X$4:$AQ$21,,MATCH(BH$3,$X$3:$AQ$3,0))
)</f>
        <v>0.5585442972718262</v>
      </c>
      <c r="BI19" s="21">
        <f ca="1">CORREL(
  INDEX($X$4:$AQ$21,,MATCH($AS19,$X$3:$AQ$3,0)),
  INDEX($X$4:$AQ$21,,MATCH(BI$3,$X$3:$AQ$3,0))
)</f>
        <v>1.0000000000000002</v>
      </c>
      <c r="BJ19" s="21">
        <f ca="1">CORREL(
  INDEX($X$4:$AQ$21,,MATCH($AS19,$X$3:$AQ$3,0)),
  INDEX($X$4:$AQ$21,,MATCH(BJ$3,$X$3:$AQ$3,0))
)</f>
        <v>0.65226039930834123</v>
      </c>
      <c r="BK19" s="21">
        <f ca="1">CORREL(
  INDEX($X$4:$AQ$21,,MATCH($AS19,$X$3:$AQ$3,0)),
  INDEX($X$4:$AQ$21,,MATCH(BK$3,$X$3:$AQ$3,0))
)</f>
        <v>0.63332009509597875</v>
      </c>
      <c r="BL19" s="21">
        <f ca="1">CORREL(
  INDEX($X$4:$AQ$21,,MATCH($AS19,$X$3:$AQ$3,0)),
  INDEX($X$4:$AQ$21,,MATCH(BL$3,$X$3:$AQ$3,0))
)</f>
        <v>-0.42319705246989214</v>
      </c>
      <c r="BM19" s="22">
        <f ca="1">CORREL(
  INDEX($X$4:$AQ$21,,MATCH($AS19,$X$3:$AQ$3,0)),
  INDEX($X$4:$AQ$21,,MATCH(BM$3,$X$3:$AQ$3,0))
)</f>
        <v>0.45337822267672656</v>
      </c>
    </row>
    <row r="20" spans="1:65" x14ac:dyDescent="0.3">
      <c r="A20" vm="355">
        <f ca="1"/>
        <v>46021</v>
      </c>
      <c r="B20" vm="114">
        <f ca="1"/>
        <v>187.54</v>
      </c>
      <c r="C20" vm="356">
        <f ca="1"/>
        <v>273.08</v>
      </c>
      <c r="D20" vm="357">
        <f ca="1"/>
        <v>487.48</v>
      </c>
      <c r="E20" vm="358">
        <f ca="1"/>
        <v>232.53</v>
      </c>
      <c r="F20" vm="359">
        <f ca="1"/>
        <v>313.85000000000002</v>
      </c>
      <c r="G20" vm="360">
        <f ca="1"/>
        <v>314.55</v>
      </c>
      <c r="H20" vm="361">
        <f ca="1"/>
        <v>665.95</v>
      </c>
      <c r="I20" vm="362">
        <f ca="1"/>
        <v>349.85</v>
      </c>
      <c r="J20" vm="363">
        <f ca="1"/>
        <v>454.43</v>
      </c>
      <c r="K20" vm="364">
        <f ca="1"/>
        <v>180.84</v>
      </c>
      <c r="L20" vm="365">
        <f ca="1"/>
        <v>1072.1400000000001</v>
      </c>
      <c r="M20" vm="366">
        <f ca="1"/>
        <v>93.78</v>
      </c>
      <c r="N20" vm="367">
        <f ca="1"/>
        <v>865.65</v>
      </c>
      <c r="O20" vm="368">
        <f ca="1"/>
        <v>215.34</v>
      </c>
      <c r="P20" vm="369">
        <f ca="1"/>
        <v>292.63</v>
      </c>
      <c r="Q20" vm="370">
        <f ca="1"/>
        <v>77.41</v>
      </c>
      <c r="R20" vm="371">
        <f ca="1"/>
        <v>92.51</v>
      </c>
      <c r="S20" vm="372">
        <f ca="1"/>
        <v>693.71</v>
      </c>
      <c r="T20" vm="373">
        <f ca="1"/>
        <v>203.8</v>
      </c>
      <c r="U20" vm="374">
        <f ca="1"/>
        <v>163.74</v>
      </c>
      <c r="W20" s="7" vm="375">
        <f t="shared" ca="1" si="0"/>
        <v>46022</v>
      </c>
      <c r="X20" s="11">
        <f t="shared" ca="1" si="1"/>
        <v>-5.5609169076088118E-3</v>
      </c>
      <c r="Y20" s="11">
        <f ca="1">LN(C21/C20)</f>
        <v>-4.4775646429776467E-3</v>
      </c>
      <c r="Z20" s="11">
        <f ca="1">LN(D21/D20)</f>
        <v>-7.9497895768508298E-3</v>
      </c>
      <c r="AA20" s="11">
        <f ca="1">LN(E21/E20)</f>
        <v>-7.3810629692709958E-3</v>
      </c>
      <c r="AB20" s="11">
        <f ca="1">LN(F21/F20)</f>
        <v>-2.7119742233875596E-3</v>
      </c>
      <c r="AC20" s="11">
        <f ca="1">LN(G21/G20)</f>
        <v>-2.3872057171064644E-3</v>
      </c>
      <c r="AD20" s="11">
        <f ca="1">LN(H21/H20)</f>
        <v>-8.8384032868801966E-3</v>
      </c>
      <c r="AE20" s="11">
        <f ca="1">LN(I21/I20)</f>
        <v>-1.0776740550607193E-2</v>
      </c>
      <c r="AF20" s="11">
        <f ca="1">LN(J21/J20)</f>
        <v>-1.0418719472844623E-2</v>
      </c>
      <c r="AG20" s="11">
        <f ca="1">LN(K21/K20)</f>
        <v>-1.7234593743054145E-2</v>
      </c>
      <c r="AH20" s="11">
        <f ca="1">LN(L21/L20)</f>
        <v>-2.1288523446147899E-3</v>
      </c>
      <c r="AI20" s="11">
        <f ca="1">LN(M21/M20)</f>
        <v>-2.1328783273768915E-4</v>
      </c>
      <c r="AJ20" s="11">
        <f ca="1">LN(N21/N20)</f>
        <v>-3.8310453745445212E-3</v>
      </c>
      <c r="AK20" s="11">
        <f ca="1">LN(O21/O20)</f>
        <v>-5.4947751754738268E-3</v>
      </c>
      <c r="AL20" s="11">
        <f ca="1">LN(P21/P20)</f>
        <v>-2.4982269408880192E-2</v>
      </c>
      <c r="AM20" s="11">
        <f ca="1">LN(Q21/Q20)</f>
        <v>-4.9210148517475063E-3</v>
      </c>
      <c r="AN20" s="11">
        <f ca="1">LN(R21/R20)</f>
        <v>-6.2893289075639904E-3</v>
      </c>
      <c r="AO20" s="11">
        <f ca="1">LN(S21/S20)</f>
        <v>-2.9090992810443285E-2</v>
      </c>
      <c r="AP20" s="11">
        <f ca="1">LN(T21/T20)</f>
        <v>-3.7361168225469497E-3</v>
      </c>
      <c r="AQ20" s="12">
        <f ca="1">LN(U21/U20)</f>
        <v>-1.706179173016413E-2</v>
      </c>
      <c r="AS20" s="31" t="s">
        <v>36</v>
      </c>
      <c r="AT20" s="21">
        <f ca="1">CORREL(
  INDEX($X$4:$AQ$21,,MATCH($AS20,$X$3:$AQ$3,0)),
  INDEX($X$4:$AQ$21,,MATCH(AT$3,$X$3:$AQ$3,0))
)</f>
        <v>0.57035720450385241</v>
      </c>
      <c r="AU20" s="21">
        <f ca="1">CORREL(
  INDEX($X$4:$AQ$21,,MATCH($AS20,$X$3:$AQ$3,0)),
  INDEX($X$4:$AQ$21,,MATCH(AU$3,$X$3:$AQ$3,0))
)</f>
        <v>0.14818259556117655</v>
      </c>
      <c r="AV20" s="21">
        <f ca="1">CORREL(
  INDEX($X$4:$AQ$21,,MATCH($AS20,$X$3:$AQ$3,0)),
  INDEX($X$4:$AQ$21,,MATCH(AV$3,$X$3:$AQ$3,0))
)</f>
        <v>-0.11381029461360326</v>
      </c>
      <c r="AW20" s="21">
        <f ca="1">CORREL(
  INDEX($X$4:$AQ$21,,MATCH($AS20,$X$3:$AQ$3,0)),
  INDEX($X$4:$AQ$21,,MATCH(AW$3,$X$3:$AQ$3,0))
)</f>
        <v>0.25828453943095031</v>
      </c>
      <c r="AX20" s="21">
        <f ca="1">CORREL(
  INDEX($X$4:$AQ$21,,MATCH($AS20,$X$3:$AQ$3,0)),
  INDEX($X$4:$AQ$21,,MATCH(AX$3,$X$3:$AQ$3,0))
)</f>
        <v>0.38135815684251018</v>
      </c>
      <c r="AY20" s="21">
        <f ca="1">CORREL(
  INDEX($X$4:$AQ$21,,MATCH($AS20,$X$3:$AQ$3,0)),
  INDEX($X$4:$AQ$21,,MATCH(AY$3,$X$3:$AQ$3,0))
)</f>
        <v>0.38148533471851692</v>
      </c>
      <c r="AZ20" s="21">
        <f ca="1">CORREL(
  INDEX($X$4:$AQ$21,,MATCH($AS20,$X$3:$AQ$3,0)),
  INDEX($X$4:$AQ$21,,MATCH(AZ$3,$X$3:$AQ$3,0))
)</f>
        <v>0.25632238138214714</v>
      </c>
      <c r="BA20" s="21">
        <f ca="1">CORREL(
  INDEX($X$4:$AQ$21,,MATCH($AS20,$X$3:$AQ$3,0)),
  INDEX($X$4:$AQ$21,,MATCH(BA$3,$X$3:$AQ$3,0))
)</f>
        <v>0.25046508371236437</v>
      </c>
      <c r="BB20" s="21">
        <f ca="1">CORREL(
  INDEX($X$4:$AQ$21,,MATCH($AS20,$X$3:$AQ$3,0)),
  INDEX($X$4:$AQ$21,,MATCH(BB$3,$X$3:$AQ$3,0))
)</f>
        <v>0.33301457594241651</v>
      </c>
      <c r="BC20" s="21">
        <f ca="1">CORREL(
  INDEX($X$4:$AQ$21,,MATCH($AS20,$X$3:$AQ$3,0)),
  INDEX($X$4:$AQ$21,,MATCH(BC$3,$X$3:$AQ$3,0))
)</f>
        <v>0.51315751365998619</v>
      </c>
      <c r="BD20" s="21">
        <f ca="1">CORREL(
  INDEX($X$4:$AQ$21,,MATCH($AS20,$X$3:$AQ$3,0)),
  INDEX($X$4:$AQ$21,,MATCH(BD$3,$X$3:$AQ$3,0))
)</f>
        <v>0.35821509988503825</v>
      </c>
      <c r="BE20" s="21">
        <f ca="1">CORREL(
  INDEX($X$4:$AQ$21,,MATCH($AS20,$X$3:$AQ$3,0)),
  INDEX($X$4:$AQ$21,,MATCH(BE$3,$X$3:$AQ$3,0))
)</f>
        <v>-0.54963975009379085</v>
      </c>
      <c r="BF20" s="21">
        <f ca="1">CORREL(
  INDEX($X$4:$AQ$21,,MATCH($AS20,$X$3:$AQ$3,0)),
  INDEX($X$4:$AQ$21,,MATCH(BF$3,$X$3:$AQ$3,0))
)</f>
        <v>-0.53920027730613573</v>
      </c>
      <c r="BG20" s="21">
        <f ca="1">CORREL(
  INDEX($X$4:$AQ$21,,MATCH($AS20,$X$3:$AQ$3,0)),
  INDEX($X$4:$AQ$21,,MATCH(BG$3,$X$3:$AQ$3,0))
)</f>
        <v>0.30494631930886879</v>
      </c>
      <c r="BH20" s="21">
        <f ca="1">CORREL(
  INDEX($X$4:$AQ$21,,MATCH($AS20,$X$3:$AQ$3,0)),
  INDEX($X$4:$AQ$21,,MATCH(BH$3,$X$3:$AQ$3,0))
)</f>
        <v>0.33910312016779737</v>
      </c>
      <c r="BI20" s="21">
        <f ca="1">CORREL(
  INDEX($X$4:$AQ$21,,MATCH($AS20,$X$3:$AQ$3,0)),
  INDEX($X$4:$AQ$21,,MATCH(BI$3,$X$3:$AQ$3,0))
)</f>
        <v>0.65226039930834123</v>
      </c>
      <c r="BJ20" s="21">
        <f ca="1">CORREL(
  INDEX($X$4:$AQ$21,,MATCH($AS20,$X$3:$AQ$3,0)),
  INDEX($X$4:$AQ$21,,MATCH(BJ$3,$X$3:$AQ$3,0))
)</f>
        <v>1</v>
      </c>
      <c r="BK20" s="21">
        <f ca="1">CORREL(
  INDEX($X$4:$AQ$21,,MATCH($AS20,$X$3:$AQ$3,0)),
  INDEX($X$4:$AQ$21,,MATCH(BK$3,$X$3:$AQ$3,0))
)</f>
        <v>0.1055241143090583</v>
      </c>
      <c r="BL20" s="21">
        <f ca="1">CORREL(
  INDEX($X$4:$AQ$21,,MATCH($AS20,$X$3:$AQ$3,0)),
  INDEX($X$4:$AQ$21,,MATCH(BL$3,$X$3:$AQ$3,0))
)</f>
        <v>-0.24132873268729799</v>
      </c>
      <c r="BM20" s="22">
        <f ca="1">CORREL(
  INDEX($X$4:$AQ$21,,MATCH($AS20,$X$3:$AQ$3,0)),
  INDEX($X$4:$AQ$21,,MATCH(BM$3,$X$3:$AQ$3,0))
)</f>
        <v>0.32272382921907644</v>
      </c>
    </row>
    <row r="21" spans="1:65" ht="15" thickBot="1" x14ac:dyDescent="0.35">
      <c r="A21" vm="375">
        <f ca="1"/>
        <v>46022</v>
      </c>
      <c r="B21" vm="376">
        <f ca="1"/>
        <v>186.5</v>
      </c>
      <c r="C21" vm="377">
        <f ca="1"/>
        <v>271.86</v>
      </c>
      <c r="D21" vm="378">
        <f ca="1"/>
        <v>483.62</v>
      </c>
      <c r="E21" vm="379">
        <f ca="1"/>
        <v>230.82</v>
      </c>
      <c r="F21" vm="380">
        <f ca="1"/>
        <v>313</v>
      </c>
      <c r="G21" vm="381">
        <f ca="1"/>
        <v>313.8</v>
      </c>
      <c r="H21" vm="382">
        <f ca="1"/>
        <v>660.09</v>
      </c>
      <c r="I21" vm="383">
        <f ca="1"/>
        <v>346.1</v>
      </c>
      <c r="J21" vm="384">
        <f ca="1"/>
        <v>449.72</v>
      </c>
      <c r="K21" vm="385">
        <f ca="1"/>
        <v>177.75</v>
      </c>
      <c r="L21" vm="386">
        <f ca="1"/>
        <v>1069.8599999999999</v>
      </c>
      <c r="M21" vm="387">
        <f ca="1"/>
        <v>93.76</v>
      </c>
      <c r="N21" vm="388">
        <f ca="1"/>
        <v>862.34</v>
      </c>
      <c r="O21" vm="389">
        <f ca="1"/>
        <v>214.16</v>
      </c>
      <c r="P21" vm="390">
        <f ca="1"/>
        <v>285.41000000000003</v>
      </c>
      <c r="Q21" vm="391">
        <f ca="1"/>
        <v>77.03</v>
      </c>
      <c r="R21" vm="392">
        <f ca="1"/>
        <v>91.93</v>
      </c>
      <c r="S21" vm="393">
        <f ca="1"/>
        <v>673.82</v>
      </c>
      <c r="T21" vm="394">
        <f ca="1"/>
        <v>203.04</v>
      </c>
      <c r="U21" vm="395">
        <f ca="1"/>
        <v>160.97</v>
      </c>
      <c r="W21" s="8" vm="396">
        <f ca="1">A22</f>
        <v>46024</v>
      </c>
      <c r="X21" s="33">
        <f ca="1">LN(B22/B21)</f>
        <v>1.2521810074595619E-2</v>
      </c>
      <c r="Y21" s="33">
        <f ca="1">LN(C22/C21)</f>
        <v>-3.1315073391992238E-3</v>
      </c>
      <c r="Z21" s="33">
        <f ca="1">LN(D22/D21)</f>
        <v>-2.2330943826937916E-2</v>
      </c>
      <c r="AA21" s="33">
        <f ca="1">LN(E22/E21)</f>
        <v>-1.8893241069169987E-2</v>
      </c>
      <c r="AB21" s="33">
        <f ca="1">LN(F22/F21)</f>
        <v>6.8455254189657717E-3</v>
      </c>
      <c r="AC21" s="33">
        <f ca="1">LN(G22/G21)</f>
        <v>4.8321558927751362E-3</v>
      </c>
      <c r="AD21" s="33">
        <f ca="1">LN(H22/H21)</f>
        <v>-1.4773256091003549E-2</v>
      </c>
      <c r="AE21" s="33">
        <f ca="1">LN(I22/I21)</f>
        <v>4.3821784940352758E-3</v>
      </c>
      <c r="AF21" s="33">
        <f ca="1">LN(J22/J21)</f>
        <v>-2.6246451922947098E-2</v>
      </c>
      <c r="AG21" s="33">
        <f ca="1">LN(K22/K21)</f>
        <v>-5.724777002866871E-2</v>
      </c>
      <c r="AH21" s="33">
        <f ca="1">LN(L22/L21)</f>
        <v>8.4145529217546505E-2</v>
      </c>
      <c r="AI21" s="33">
        <f ca="1">LN(M22/M21)</f>
        <v>-2.9988715460103142E-2</v>
      </c>
      <c r="AJ21" s="33">
        <f ca="1">LN(N22/N21)</f>
        <v>-9.133121894894982E-3</v>
      </c>
      <c r="AK21" s="33">
        <f ca="1">LN(O22/O21)</f>
        <v>4.2553777644197571E-2</v>
      </c>
      <c r="AL21" s="33">
        <f ca="1">LN(P22/P21)</f>
        <v>9.9978341088114445E-2</v>
      </c>
      <c r="AM21" s="33">
        <f ca="1">LN(Q22/Q21)</f>
        <v>-1.2935438744645979E-2</v>
      </c>
      <c r="AN21" s="33">
        <f ca="1">LN(R22/R21)</f>
        <v>-3.9237107560225947E-3</v>
      </c>
      <c r="AO21" s="33">
        <f ca="1">LN(S22/S21)</f>
        <v>-8.5956890131661023E-2</v>
      </c>
      <c r="AP21" s="33">
        <f ca="1">LN(T22/T21)</f>
        <v>-1.7187845509911016E-2</v>
      </c>
      <c r="AQ21" s="34">
        <f ca="1">LN(U22/U21)</f>
        <v>-2.3699132223031983E-2</v>
      </c>
      <c r="AS21" s="31" t="s">
        <v>38</v>
      </c>
      <c r="AT21" s="21">
        <f ca="1">CORREL(
  INDEX($X$4:$AQ$21,,MATCH($AS21,$X$3:$AQ$3,0)),
  INDEX($X$4:$AQ$21,,MATCH(AT$3,$X$3:$AQ$3,0))
)</f>
        <v>0.4181980549429779</v>
      </c>
      <c r="AU21" s="21">
        <f ca="1">CORREL(
  INDEX($X$4:$AQ$21,,MATCH($AS21,$X$3:$AQ$3,0)),
  INDEX($X$4:$AQ$21,,MATCH(AU$3,$X$3:$AQ$3,0))
)</f>
        <v>3.3390373914298652E-2</v>
      </c>
      <c r="AV21" s="21">
        <f ca="1">CORREL(
  INDEX($X$4:$AQ$21,,MATCH($AS21,$X$3:$AQ$3,0)),
  INDEX($X$4:$AQ$21,,MATCH(AV$3,$X$3:$AQ$3,0))
)</f>
        <v>0.68660902969894622</v>
      </c>
      <c r="AW21" s="21">
        <f ca="1">CORREL(
  INDEX($X$4:$AQ$21,,MATCH($AS21,$X$3:$AQ$3,0)),
  INDEX($X$4:$AQ$21,,MATCH(AW$3,$X$3:$AQ$3,0))
)</f>
        <v>0.55763733130748649</v>
      </c>
      <c r="AX21" s="21">
        <f ca="1">CORREL(
  INDEX($X$4:$AQ$21,,MATCH($AS21,$X$3:$AQ$3,0)),
  INDEX($X$4:$AQ$21,,MATCH(AX$3,$X$3:$AQ$3,0))
)</f>
        <v>0.28549449383826164</v>
      </c>
      <c r="AY21" s="21">
        <f ca="1">CORREL(
  INDEX($X$4:$AQ$21,,MATCH($AS21,$X$3:$AQ$3,0)),
  INDEX($X$4:$AQ$21,,MATCH(AY$3,$X$3:$AQ$3,0))
)</f>
        <v>0.31567830514548106</v>
      </c>
      <c r="AZ21" s="21">
        <f ca="1">CORREL(
  INDEX($X$4:$AQ$21,,MATCH($AS21,$X$3:$AQ$3,0)),
  INDEX($X$4:$AQ$21,,MATCH(AZ$3,$X$3:$AQ$3,0))
)</f>
        <v>0.50496473045025436</v>
      </c>
      <c r="BA21" s="21">
        <f ca="1">CORREL(
  INDEX($X$4:$AQ$21,,MATCH($AS21,$X$3:$AQ$3,0)),
  INDEX($X$4:$AQ$21,,MATCH(BA$3,$X$3:$AQ$3,0))
)</f>
        <v>0.43786128926035617</v>
      </c>
      <c r="BB21" s="21">
        <f ca="1">CORREL(
  INDEX($X$4:$AQ$21,,MATCH($AS21,$X$3:$AQ$3,0)),
  INDEX($X$4:$AQ$21,,MATCH(BB$3,$X$3:$AQ$3,0))
)</f>
        <v>0.36542954739366607</v>
      </c>
      <c r="BC21" s="21">
        <f ca="1">CORREL(
  INDEX($X$4:$AQ$21,,MATCH($AS21,$X$3:$AQ$3,0)),
  INDEX($X$4:$AQ$21,,MATCH(BC$3,$X$3:$AQ$3,0))
)</f>
        <v>0.70562697680281972</v>
      </c>
      <c r="BD21" s="21">
        <f ca="1">CORREL(
  INDEX($X$4:$AQ$21,,MATCH($AS21,$X$3:$AQ$3,0)),
  INDEX($X$4:$AQ$21,,MATCH(BD$3,$X$3:$AQ$3,0))
)</f>
        <v>-7.5046494265152697E-2</v>
      </c>
      <c r="BE21" s="21">
        <f ca="1">CORREL(
  INDEX($X$4:$AQ$21,,MATCH($AS21,$X$3:$AQ$3,0)),
  INDEX($X$4:$AQ$21,,MATCH(BE$3,$X$3:$AQ$3,0))
)</f>
        <v>0.20996139116155541</v>
      </c>
      <c r="BF21" s="21">
        <f ca="1">CORREL(
  INDEX($X$4:$AQ$21,,MATCH($AS21,$X$3:$AQ$3,0)),
  INDEX($X$4:$AQ$21,,MATCH(BF$3,$X$3:$AQ$3,0))
)</f>
        <v>0.10523831363641471</v>
      </c>
      <c r="BG21" s="21">
        <f ca="1">CORREL(
  INDEX($X$4:$AQ$21,,MATCH($AS21,$X$3:$AQ$3,0)),
  INDEX($X$4:$AQ$21,,MATCH(BG$3,$X$3:$AQ$3,0))
)</f>
        <v>0.29718177482919944</v>
      </c>
      <c r="BH21" s="21">
        <f ca="1">CORREL(
  INDEX($X$4:$AQ$21,,MATCH($AS21,$X$3:$AQ$3,0)),
  INDEX($X$4:$AQ$21,,MATCH(BH$3,$X$3:$AQ$3,0))
)</f>
        <v>0.23447222369199563</v>
      </c>
      <c r="BI21" s="21">
        <f ca="1">CORREL(
  INDEX($X$4:$AQ$21,,MATCH($AS21,$X$3:$AQ$3,0)),
  INDEX($X$4:$AQ$21,,MATCH(BI$3,$X$3:$AQ$3,0))
)</f>
        <v>0.63332009509597875</v>
      </c>
      <c r="BJ21" s="21">
        <f ca="1">CORREL(
  INDEX($X$4:$AQ$21,,MATCH($AS21,$X$3:$AQ$3,0)),
  INDEX($X$4:$AQ$21,,MATCH(BJ$3,$X$3:$AQ$3,0))
)</f>
        <v>0.1055241143090583</v>
      </c>
      <c r="BK21" s="21">
        <f ca="1">CORREL(
  INDEX($X$4:$AQ$21,,MATCH($AS21,$X$3:$AQ$3,0)),
  INDEX($X$4:$AQ$21,,MATCH(BK$3,$X$3:$AQ$3,0))
)</f>
        <v>1</v>
      </c>
      <c r="BL21" s="21">
        <f ca="1">CORREL(
  INDEX($X$4:$AQ$21,,MATCH($AS21,$X$3:$AQ$3,0)),
  INDEX($X$4:$AQ$21,,MATCH(BL$3,$X$3:$AQ$3,0))
)</f>
        <v>4.9629723261678485E-2</v>
      </c>
      <c r="BM21" s="22">
        <f ca="1">CORREL(
  INDEX($X$4:$AQ$21,,MATCH($AS21,$X$3:$AQ$3,0)),
  INDEX($X$4:$AQ$21,,MATCH(BM$3,$X$3:$AQ$3,0))
)</f>
        <v>0.3063722804490544</v>
      </c>
    </row>
    <row r="22" spans="1:65" ht="15" thickBot="1" x14ac:dyDescent="0.35">
      <c r="A22" vm="396">
        <f ca="1"/>
        <v>46024</v>
      </c>
      <c r="B22" vm="1">
        <f ca="1"/>
        <v>188.85</v>
      </c>
      <c r="C22" vm="2">
        <f ca="1"/>
        <v>271.01</v>
      </c>
      <c r="D22" vm="3">
        <f ca="1"/>
        <v>472.94</v>
      </c>
      <c r="E22" vm="4">
        <f ca="1"/>
        <v>226.5</v>
      </c>
      <c r="F22" vm="5">
        <f ca="1"/>
        <v>315.14999999999998</v>
      </c>
      <c r="G22" vm="6">
        <f ca="1"/>
        <v>315.32</v>
      </c>
      <c r="H22" vm="7">
        <f ca="1"/>
        <v>650.41</v>
      </c>
      <c r="I22" vm="8">
        <f ca="1"/>
        <v>347.62</v>
      </c>
      <c r="J22" vm="10">
        <f ca="1"/>
        <v>438.07</v>
      </c>
      <c r="K22" vm="11">
        <f ca="1"/>
        <v>167.86</v>
      </c>
      <c r="L22" vm="12">
        <f ca="1"/>
        <v>1163.78</v>
      </c>
      <c r="M22" vm="13">
        <f ca="1"/>
        <v>90.99</v>
      </c>
      <c r="N22" vm="9">
        <f ca="1"/>
        <v>854.5</v>
      </c>
      <c r="O22" vm="14">
        <f ca="1"/>
        <v>223.47</v>
      </c>
      <c r="P22" vm="15">
        <f ca="1"/>
        <v>315.42</v>
      </c>
      <c r="Q22" vm="16">
        <f ca="1"/>
        <v>76.040000000000006</v>
      </c>
      <c r="R22" vm="17">
        <f ca="1"/>
        <v>91.57</v>
      </c>
      <c r="S22" vm="18">
        <f ca="1"/>
        <v>618.32000000000005</v>
      </c>
      <c r="T22" vm="19">
        <f ca="1"/>
        <v>199.58</v>
      </c>
      <c r="U22" vm="20">
        <f ca="1"/>
        <v>157.19999999999999</v>
      </c>
      <c r="AS22" s="31" t="s">
        <v>40</v>
      </c>
      <c r="AT22" s="21">
        <f ca="1">CORREL(
  INDEX($X$4:$AQ$21,,MATCH($AS22,$X$3:$AQ$3,0)),
  INDEX($X$4:$AQ$21,,MATCH(AT$3,$X$3:$AQ$3,0))
)</f>
        <v>-0.19940498453415731</v>
      </c>
      <c r="AU22" s="21">
        <f ca="1">CORREL(
  INDEX($X$4:$AQ$21,,MATCH($AS22,$X$3:$AQ$3,0)),
  INDEX($X$4:$AQ$21,,MATCH(AU$3,$X$3:$AQ$3,0))
)</f>
        <v>-0.12458858130740076</v>
      </c>
      <c r="AV22" s="21">
        <f ca="1">CORREL(
  INDEX($X$4:$AQ$21,,MATCH($AS22,$X$3:$AQ$3,0)),
  INDEX($X$4:$AQ$21,,MATCH(AV$3,$X$3:$AQ$3,0))
)</f>
        <v>0.32597159579623769</v>
      </c>
      <c r="AW22" s="21">
        <f ca="1">CORREL(
  INDEX($X$4:$AQ$21,,MATCH($AS22,$X$3:$AQ$3,0)),
  INDEX($X$4:$AQ$21,,MATCH(AW$3,$X$3:$AQ$3,0))
)</f>
        <v>4.3462141168420017E-2</v>
      </c>
      <c r="AX22" s="21">
        <f ca="1">CORREL(
  INDEX($X$4:$AQ$21,,MATCH($AS22,$X$3:$AQ$3,0)),
  INDEX($X$4:$AQ$21,,MATCH(AX$3,$X$3:$AQ$3,0))
)</f>
        <v>-0.13286815145261874</v>
      </c>
      <c r="AY22" s="21">
        <f ca="1">CORREL(
  INDEX($X$4:$AQ$21,,MATCH($AS22,$X$3:$AQ$3,0)),
  INDEX($X$4:$AQ$21,,MATCH(AY$3,$X$3:$AQ$3,0))
)</f>
        <v>-0.13819967791658169</v>
      </c>
      <c r="AZ22" s="21">
        <f ca="1">CORREL(
  INDEX($X$4:$AQ$21,,MATCH($AS22,$X$3:$AQ$3,0)),
  INDEX($X$4:$AQ$21,,MATCH(AZ$3,$X$3:$AQ$3,0))
)</f>
        <v>0.52807592846146001</v>
      </c>
      <c r="BA22" s="21">
        <f ca="1">CORREL(
  INDEX($X$4:$AQ$21,,MATCH($AS22,$X$3:$AQ$3,0)),
  INDEX($X$4:$AQ$21,,MATCH(BA$3,$X$3:$AQ$3,0))
)</f>
        <v>-0.31129694957241005</v>
      </c>
      <c r="BB22" s="21">
        <f ca="1">CORREL(
  INDEX($X$4:$AQ$21,,MATCH($AS22,$X$3:$AQ$3,0)),
  INDEX($X$4:$AQ$21,,MATCH(BB$3,$X$3:$AQ$3,0))
)</f>
        <v>4.1784084241034948E-2</v>
      </c>
      <c r="BC22" s="21">
        <f ca="1">CORREL(
  INDEX($X$4:$AQ$21,,MATCH($AS22,$X$3:$AQ$3,0)),
  INDEX($X$4:$AQ$21,,MATCH(BC$3,$X$3:$AQ$3,0))
)</f>
        <v>-0.22732019135651249</v>
      </c>
      <c r="BD22" s="21">
        <f ca="1">CORREL(
  INDEX($X$4:$AQ$21,,MATCH($AS22,$X$3:$AQ$3,0)),
  INDEX($X$4:$AQ$21,,MATCH(BD$3,$X$3:$AQ$3,0))
)</f>
        <v>-0.3979550761156001</v>
      </c>
      <c r="BE22" s="21">
        <f ca="1">CORREL(
  INDEX($X$4:$AQ$21,,MATCH($AS22,$X$3:$AQ$3,0)),
  INDEX($X$4:$AQ$21,,MATCH(BE$3,$X$3:$AQ$3,0))
)</f>
        <v>0.69575174249838534</v>
      </c>
      <c r="BF22" s="21">
        <f ca="1">CORREL(
  INDEX($X$4:$AQ$21,,MATCH($AS22,$X$3:$AQ$3,0)),
  INDEX($X$4:$AQ$21,,MATCH(BF$3,$X$3:$AQ$3,0))
)</f>
        <v>0.34575975634043943</v>
      </c>
      <c r="BG22" s="21">
        <f ca="1">CORREL(
  INDEX($X$4:$AQ$21,,MATCH($AS22,$X$3:$AQ$3,0)),
  INDEX($X$4:$AQ$21,,MATCH(BG$3,$X$3:$AQ$3,0))
)</f>
        <v>-0.41148698501739128</v>
      </c>
      <c r="BH22" s="21">
        <f ca="1">CORREL(
  INDEX($X$4:$AQ$21,,MATCH($AS22,$X$3:$AQ$3,0)),
  INDEX($X$4:$AQ$21,,MATCH(BH$3,$X$3:$AQ$3,0))
)</f>
        <v>-0.4409229875636142</v>
      </c>
      <c r="BI22" s="21">
        <f ca="1">CORREL(
  INDEX($X$4:$AQ$21,,MATCH($AS22,$X$3:$AQ$3,0)),
  INDEX($X$4:$AQ$21,,MATCH(BI$3,$X$3:$AQ$3,0))
)</f>
        <v>-0.42319705246989214</v>
      </c>
      <c r="BJ22" s="21">
        <f ca="1">CORREL(
  INDEX($X$4:$AQ$21,,MATCH($AS22,$X$3:$AQ$3,0)),
  INDEX($X$4:$AQ$21,,MATCH(BJ$3,$X$3:$AQ$3,0))
)</f>
        <v>-0.24132873268729799</v>
      </c>
      <c r="BK22" s="21">
        <f ca="1">CORREL(
  INDEX($X$4:$AQ$21,,MATCH($AS22,$X$3:$AQ$3,0)),
  INDEX($X$4:$AQ$21,,MATCH(BK$3,$X$3:$AQ$3,0))
)</f>
        <v>4.9629723261678485E-2</v>
      </c>
      <c r="BL22" s="21">
        <f ca="1">CORREL(
  INDEX($X$4:$AQ$21,,MATCH($AS22,$X$3:$AQ$3,0)),
  INDEX($X$4:$AQ$21,,MATCH(BL$3,$X$3:$AQ$3,0))
)</f>
        <v>1</v>
      </c>
      <c r="BM22" s="22">
        <f ca="1">CORREL(
  INDEX($X$4:$AQ$21,,MATCH($AS22,$X$3:$AQ$3,0)),
  INDEX($X$4:$AQ$21,,MATCH(BM$3,$X$3:$AQ$3,0))
)</f>
        <v>-0.26695194973399988</v>
      </c>
    </row>
    <row r="23" spans="1:65" ht="15" thickBot="1" x14ac:dyDescent="0.35">
      <c r="W23" s="29" t="s">
        <v>68</v>
      </c>
      <c r="X23" s="15" t="s">
        <v>10</v>
      </c>
      <c r="Y23" s="15" t="s">
        <v>6</v>
      </c>
      <c r="Z23" s="15" t="s">
        <v>13</v>
      </c>
      <c r="AA23" s="15" t="s">
        <v>5</v>
      </c>
      <c r="AB23" s="15" t="s">
        <v>3</v>
      </c>
      <c r="AC23" s="15" t="s">
        <v>4</v>
      </c>
      <c r="AD23" s="15" t="s">
        <v>18</v>
      </c>
      <c r="AE23" s="15" t="s">
        <v>7</v>
      </c>
      <c r="AF23" s="15" t="s">
        <v>21</v>
      </c>
      <c r="AG23" s="15" t="s">
        <v>23</v>
      </c>
      <c r="AH23" s="15" t="s">
        <v>25</v>
      </c>
      <c r="AI23" s="15" t="s">
        <v>27</v>
      </c>
      <c r="AJ23" s="15" t="s">
        <v>29</v>
      </c>
      <c r="AK23" s="15" t="s">
        <v>2</v>
      </c>
      <c r="AL23" s="15" t="s">
        <v>32</v>
      </c>
      <c r="AM23" s="15" t="s">
        <v>34</v>
      </c>
      <c r="AN23" s="15" t="s">
        <v>36</v>
      </c>
      <c r="AO23" s="15" t="s">
        <v>38</v>
      </c>
      <c r="AP23" s="15" t="s">
        <v>40</v>
      </c>
      <c r="AQ23" s="16" t="s">
        <v>42</v>
      </c>
      <c r="AS23" s="32" t="s">
        <v>42</v>
      </c>
      <c r="AT23" s="23">
        <f ca="1">CORREL(
  INDEX($X$4:$AQ$21,,MATCH($AS23,$X$3:$AQ$3,0)),
  INDEX($X$4:$AQ$21,,MATCH(AT$3,$X$3:$AQ$3,0))
)</f>
        <v>0.21377999284379307</v>
      </c>
      <c r="AU23" s="23">
        <f ca="1">CORREL(
  INDEX($X$4:$AQ$21,,MATCH($AS23,$X$3:$AQ$3,0)),
  INDEX($X$4:$AQ$21,,MATCH(AU$3,$X$3:$AQ$3,0))
)</f>
        <v>0.55408551939603568</v>
      </c>
      <c r="AV23" s="23">
        <f ca="1">CORREL(
  INDEX($X$4:$AQ$21,,MATCH($AS23,$X$3:$AQ$3,0)),
  INDEX($X$4:$AQ$21,,MATCH(AV$3,$X$3:$AQ$3,0))
)</f>
        <v>-9.8013615179303376E-2</v>
      </c>
      <c r="AW23" s="23">
        <f ca="1">CORREL(
  INDEX($X$4:$AQ$21,,MATCH($AS23,$X$3:$AQ$3,0)),
  INDEX($X$4:$AQ$21,,MATCH(AW$3,$X$3:$AQ$3,0))
)</f>
        <v>0.72406578644930908</v>
      </c>
      <c r="AX23" s="23">
        <f ca="1">CORREL(
  INDEX($X$4:$AQ$21,,MATCH($AS23,$X$3:$AQ$3,0)),
  INDEX($X$4:$AQ$21,,MATCH(AX$3,$X$3:$AQ$3,0))
)</f>
        <v>0.47798922044516662</v>
      </c>
      <c r="AY23" s="23">
        <f ca="1">CORREL(
  INDEX($X$4:$AQ$21,,MATCH($AS23,$X$3:$AQ$3,0)),
  INDEX($X$4:$AQ$21,,MATCH(AY$3,$X$3:$AQ$3,0))
)</f>
        <v>0.50286337069829479</v>
      </c>
      <c r="AZ23" s="23">
        <f ca="1">CORREL(
  INDEX($X$4:$AQ$21,,MATCH($AS23,$X$3:$AQ$3,0)),
  INDEX($X$4:$AQ$21,,MATCH(AZ$3,$X$3:$AQ$3,0))
)</f>
        <v>0.12745460080124049</v>
      </c>
      <c r="BA23" s="23">
        <f ca="1">CORREL(
  INDEX($X$4:$AQ$21,,MATCH($AS23,$X$3:$AQ$3,0)),
  INDEX($X$4:$AQ$21,,MATCH(BA$3,$X$3:$AQ$3,0))
)</f>
        <v>0.31783516521770261</v>
      </c>
      <c r="BB23" s="23">
        <f ca="1">CORREL(
  INDEX($X$4:$AQ$21,,MATCH($AS23,$X$3:$AQ$3,0)),
  INDEX($X$4:$AQ$21,,MATCH(BB$3,$X$3:$AQ$3,0))
)</f>
        <v>0.44751317974013055</v>
      </c>
      <c r="BC23" s="23">
        <f ca="1">CORREL(
  INDEX($X$4:$AQ$21,,MATCH($AS23,$X$3:$AQ$3,0)),
  INDEX($X$4:$AQ$21,,MATCH(BC$3,$X$3:$AQ$3,0))
)</f>
        <v>0.68353744794739979</v>
      </c>
      <c r="BD23" s="23">
        <f ca="1">CORREL(
  INDEX($X$4:$AQ$21,,MATCH($AS23,$X$3:$AQ$3,0)),
  INDEX($X$4:$AQ$21,,MATCH(BD$3,$X$3:$AQ$3,0))
)</f>
        <v>-7.4897687445196773E-2</v>
      </c>
      <c r="BE23" s="23">
        <f ca="1">CORREL(
  INDEX($X$4:$AQ$21,,MATCH($AS23,$X$3:$AQ$3,0)),
  INDEX($X$4:$AQ$21,,MATCH(BE$3,$X$3:$AQ$3,0))
)</f>
        <v>-0.13909203178708734</v>
      </c>
      <c r="BF23" s="23">
        <f ca="1">CORREL(
  INDEX($X$4:$AQ$21,,MATCH($AS23,$X$3:$AQ$3,0)),
  INDEX($X$4:$AQ$21,,MATCH(BF$3,$X$3:$AQ$3,0))
)</f>
        <v>-1.5942243823029657E-2</v>
      </c>
      <c r="BG23" s="23">
        <f ca="1">CORREL(
  INDEX($X$4:$AQ$21,,MATCH($AS23,$X$3:$AQ$3,0)),
  INDEX($X$4:$AQ$21,,MATCH(BG$3,$X$3:$AQ$3,0))
)</f>
        <v>0.15604410242463468</v>
      </c>
      <c r="BH23" s="23">
        <f ca="1">CORREL(
  INDEX($X$4:$AQ$21,,MATCH($AS23,$X$3:$AQ$3,0)),
  INDEX($X$4:$AQ$21,,MATCH(BH$3,$X$3:$AQ$3,0))
)</f>
        <v>0.2906867912427325</v>
      </c>
      <c r="BI23" s="23">
        <f ca="1">CORREL(
  INDEX($X$4:$AQ$21,,MATCH($AS23,$X$3:$AQ$3,0)),
  INDEX($X$4:$AQ$21,,MATCH(BI$3,$X$3:$AQ$3,0))
)</f>
        <v>0.45337822267672656</v>
      </c>
      <c r="BJ23" s="23">
        <f ca="1">CORREL(
  INDEX($X$4:$AQ$21,,MATCH($AS23,$X$3:$AQ$3,0)),
  INDEX($X$4:$AQ$21,,MATCH(BJ$3,$X$3:$AQ$3,0))
)</f>
        <v>0.32272382921907644</v>
      </c>
      <c r="BK23" s="23">
        <f ca="1">CORREL(
  INDEX($X$4:$AQ$21,,MATCH($AS23,$X$3:$AQ$3,0)),
  INDEX($X$4:$AQ$21,,MATCH(BK$3,$X$3:$AQ$3,0))
)</f>
        <v>0.3063722804490544</v>
      </c>
      <c r="BL23" s="23">
        <f ca="1">CORREL(
  INDEX($X$4:$AQ$21,,MATCH($AS23,$X$3:$AQ$3,0)),
  INDEX($X$4:$AQ$21,,MATCH(BL$3,$X$3:$AQ$3,0))
)</f>
        <v>-0.26695194973399988</v>
      </c>
      <c r="BM23" s="24">
        <f ca="1">CORREL(
  INDEX($X$4:$AQ$21,,MATCH($AS23,$X$3:$AQ$3,0)),
  INDEX($X$4:$AQ$21,,MATCH(BM$3,$X$3:$AQ$3,0))
)</f>
        <v>1.0000000000000002</v>
      </c>
    </row>
    <row r="24" spans="1:65" x14ac:dyDescent="0.3">
      <c r="W24" s="7" t="s">
        <v>63</v>
      </c>
      <c r="X24" s="9">
        <f ca="1">AVERAGE(X4:X21)*12</f>
        <v>2.3130765639761752E-2</v>
      </c>
      <c r="Y24" s="9">
        <f ca="1">AVERAGE(Y4:Y21)*12</f>
        <v>-1.8844813155891899E-2</v>
      </c>
      <c r="Z24" s="9">
        <f ca="1">AVERAGE(Z4:Z21)*12</f>
        <v>-1.4252887457043457E-2</v>
      </c>
      <c r="AA24" s="9">
        <f ca="1">AVERAGE(AA4:AA21)*12</f>
        <v>-8.8591966591874318E-3</v>
      </c>
      <c r="AB24" s="9">
        <f ca="1">AVERAGE(AB4:AB21)*12</f>
        <v>-1.2822116747849735E-2</v>
      </c>
      <c r="AC24" s="9">
        <f ca="1">AVERAGE(AC4:AC21)*12</f>
        <v>-1.4162008936383206E-2</v>
      </c>
      <c r="AD24" s="9">
        <f ca="1">AVERAGE(AD4:AD21)*12</f>
        <v>-2.3177515364320847E-2</v>
      </c>
      <c r="AE24" s="9">
        <f ca="1">AVERAGE(AE4:AE21)*12</f>
        <v>-7.7101336888183908E-2</v>
      </c>
      <c r="AF24" s="9">
        <f ca="1">AVERAGE(AF4:AF21)*12</f>
        <v>-2.527913599489235E-2</v>
      </c>
      <c r="AG24" s="9">
        <f ca="1">AVERAGE(AG4:AG21)*12</f>
        <v>-5.3037891252070125E-2</v>
      </c>
      <c r="AH24" s="9">
        <f ca="1">AVERAGE(AH4:AH21)*12</f>
        <v>3.7896721665727578E-2</v>
      </c>
      <c r="AI24" s="9">
        <f ca="1">AVERAGE(AI4:AI21)*12</f>
        <v>-6.4545133479475589E-2</v>
      </c>
      <c r="AJ24" s="9">
        <f ca="1">AVERAGE(AJ4:AJ21)*12</f>
        <v>-3.0633073257615821E-2</v>
      </c>
      <c r="AK24" s="9">
        <f ca="1">AVERAGE(AK4:AK21)*12</f>
        <v>1.6613158810582347E-2</v>
      </c>
      <c r="AL24" s="9">
        <f ca="1">AVERAGE(AL4:AL21)*12</f>
        <v>0.18994473563885464</v>
      </c>
      <c r="AM24" s="9">
        <f ca="1">AVERAGE(AM4:AM21)*12</f>
        <v>-1.6709746467519854E-2</v>
      </c>
      <c r="AN24" s="9">
        <f ca="1">AVERAGE(AN4:AN21)*12</f>
        <v>1.0197356084468492E-2</v>
      </c>
      <c r="AO24" s="9">
        <f ca="1">AVERAGE(AO4:AO21)*12</f>
        <v>-7.4995415905085572E-2</v>
      </c>
      <c r="AP24" s="9">
        <f ca="1">AVERAGE(AP4:AP21)*12</f>
        <v>-3.2752609013083127E-2</v>
      </c>
      <c r="AQ24" s="10">
        <f ca="1">AVERAGE(AQ4:AQ21)*12</f>
        <v>-1.6254837325431641E-2</v>
      </c>
    </row>
    <row r="25" spans="1:65" x14ac:dyDescent="0.3">
      <c r="W25" s="7" t="s">
        <v>64</v>
      </c>
      <c r="X25" s="11">
        <f ca="1">_xlfn.STDEV.P(X4:X21)*SQRT(12)</f>
        <v>6.6554773840027878E-2</v>
      </c>
      <c r="Y25" s="11">
        <f ca="1">_xlfn.STDEV.P(Y4:Y21)*SQRT(12)</f>
        <v>1.9517394052232781E-2</v>
      </c>
      <c r="Z25" s="11">
        <f ca="1">_xlfn.STDEV.P(Z4:Z21)*SQRT(12)</f>
        <v>3.7985407891423496E-2</v>
      </c>
      <c r="AA25" s="11">
        <f ca="1">_xlfn.STDEV.P(AA4:AA21)*SQRT(12)</f>
        <v>3.9985938391708727E-2</v>
      </c>
      <c r="AB25" s="11">
        <f ca="1">_xlfn.STDEV.P(AB4:AB21)*SQRT(12)</f>
        <v>4.8442317107178869E-2</v>
      </c>
      <c r="AC25" s="11">
        <f ca="1">_xlfn.STDEV.P(AC4:AC21)*SQRT(12)</f>
        <v>4.743033413446221E-2</v>
      </c>
      <c r="AD25" s="11">
        <f ca="1">_xlfn.STDEV.P(AD4:AD21)*SQRT(12)</f>
        <v>3.7287648243501066E-2</v>
      </c>
      <c r="AE25" s="11">
        <f ca="1">_xlfn.STDEV.P(AE4:AE21)*SQRT(12)</f>
        <v>0.12311095067820695</v>
      </c>
      <c r="AF25" s="11">
        <f ca="1">_xlfn.STDEV.P(AF4:AF21)*SQRT(12)</f>
        <v>8.401954040732254E-2</v>
      </c>
      <c r="AG25" s="11">
        <f ca="1">_xlfn.STDEV.P(AG4:AG21)*SQRT(12)</f>
        <v>9.7244817921032678E-2</v>
      </c>
      <c r="AH25" s="11">
        <f ca="1">_xlfn.STDEV.P(AH4:AH21)*SQRT(12)</f>
        <v>9.397998645081132E-2</v>
      </c>
      <c r="AI25" s="11">
        <f ca="1">_xlfn.STDEV.P(AI4:AI21)*SQRT(12)</f>
        <v>5.4176686962688063E-2</v>
      </c>
      <c r="AJ25" s="11">
        <f ca="1">_xlfn.STDEV.P(AJ4:AJ21)*SQRT(12)</f>
        <v>3.4099069355907348E-2</v>
      </c>
      <c r="AK25" s="11">
        <f ca="1">_xlfn.STDEV.P(AK4:AK21)*SQRT(12)</f>
        <v>8.7690014741985373E-2</v>
      </c>
      <c r="AL25" s="11">
        <f ca="1">_xlfn.STDEV.P(AL4:AL21)*SQRT(12)</f>
        <v>0.15287052193676845</v>
      </c>
      <c r="AM25" s="11">
        <f ca="1">_xlfn.STDEV.P(AM4:AM21)*SQRT(12)</f>
        <v>3.6885152417232427E-2</v>
      </c>
      <c r="AN25" s="11">
        <f ca="1">_xlfn.STDEV.P(AN4:AN21)*SQRT(12)</f>
        <v>3.5369600276682137E-2</v>
      </c>
      <c r="AO25" s="11">
        <f ca="1">_xlfn.STDEV.P(AO4:AO21)*SQRT(12)</f>
        <v>0.12209714461559044</v>
      </c>
      <c r="AP25" s="11">
        <f ca="1">_xlfn.STDEV.P(AP4:AP21)*SQRT(12)</f>
        <v>4.3564823992461435E-2</v>
      </c>
      <c r="AQ25" s="12">
        <f ca="1">_xlfn.STDEV.P(AQ4:AQ21)*SQRT(12)</f>
        <v>7.2157180767524587E-2</v>
      </c>
    </row>
    <row r="26" spans="1:65" x14ac:dyDescent="0.3">
      <c r="W26" s="7" t="s">
        <v>65</v>
      </c>
      <c r="X26" s="21">
        <f ca="1">X24/X25</f>
        <v>0.34754480114918923</v>
      </c>
      <c r="Y26" s="21">
        <f t="shared" ref="Y26:AQ26" ca="1" si="2">Y24/Y25</f>
        <v>-0.96553941092028428</v>
      </c>
      <c r="Z26" s="21">
        <f t="shared" ca="1" si="2"/>
        <v>-0.3752200712911532</v>
      </c>
      <c r="AA26" s="21">
        <f t="shared" ca="1" si="2"/>
        <v>-0.22155780295566174</v>
      </c>
      <c r="AB26" s="21">
        <f t="shared" ca="1" si="2"/>
        <v>-0.26468834509878497</v>
      </c>
      <c r="AC26" s="21">
        <f t="shared" ca="1" si="2"/>
        <v>-0.2985854768856307</v>
      </c>
      <c r="AD26" s="21">
        <f t="shared" ca="1" si="2"/>
        <v>-0.62158694517186397</v>
      </c>
      <c r="AE26" s="21">
        <f t="shared" ca="1" si="2"/>
        <v>-0.62627521324008717</v>
      </c>
      <c r="AF26" s="21">
        <f t="shared" ca="1" si="2"/>
        <v>-0.30087210513578577</v>
      </c>
      <c r="AG26" s="21">
        <f t="shared" ca="1" si="2"/>
        <v>-0.54540583638234963</v>
      </c>
      <c r="AH26" s="21">
        <f t="shared" ca="1" si="2"/>
        <v>0.40324246785843648</v>
      </c>
      <c r="AI26" s="21">
        <f t="shared" ca="1" si="2"/>
        <v>-1.1913820703714932</v>
      </c>
      <c r="AJ26" s="21">
        <f t="shared" ca="1" si="2"/>
        <v>-0.89835511162737713</v>
      </c>
      <c r="AK26" s="21">
        <f t="shared" ca="1" si="2"/>
        <v>0.18945325598888377</v>
      </c>
      <c r="AL26" s="21">
        <f t="shared" ca="1" si="2"/>
        <v>1.2425203579629376</v>
      </c>
      <c r="AM26" s="21">
        <f t="shared" ca="1" si="2"/>
        <v>-0.45302094128566495</v>
      </c>
      <c r="AN26" s="21">
        <f t="shared" ca="1" si="2"/>
        <v>0.28830849104029116</v>
      </c>
      <c r="AO26" s="21">
        <f t="shared" ca="1" si="2"/>
        <v>-0.61422743456614382</v>
      </c>
      <c r="AP26" s="21">
        <f t="shared" ca="1" si="2"/>
        <v>-0.75181318347001058</v>
      </c>
      <c r="AQ26" s="22">
        <f t="shared" ca="1" si="2"/>
        <v>-0.22526985051981649</v>
      </c>
    </row>
    <row r="27" spans="1:65" x14ac:dyDescent="0.3">
      <c r="W27" s="7" t="s">
        <v>69</v>
      </c>
      <c r="X27" s="9">
        <f ca="1">MEDIAN(X4:X21)</f>
        <v>2.0496877249088536E-3</v>
      </c>
      <c r="Y27" s="9">
        <f ca="1">MEDIAN(Y4:Y21)</f>
        <v>-1.9927642504252007E-3</v>
      </c>
      <c r="Z27" s="9">
        <f ca="1">MEDIAN(Z4:Z21)</f>
        <v>1.0644997285577543E-4</v>
      </c>
      <c r="AA27" s="9">
        <f ca="1">MEDIAN(AA4:AA21)</f>
        <v>3.4607376200626789E-4</v>
      </c>
      <c r="AB27" s="9">
        <f ca="1">MEDIAN(AB4:AB21)</f>
        <v>-3.3398697811275906E-4</v>
      </c>
      <c r="AC27" s="9">
        <f ca="1">MEDIAN(AC4:AC21)</f>
        <v>-9.215356760232322E-4</v>
      </c>
      <c r="AD27" s="9">
        <f ca="1">MEDIAN(AD4:AD21)</f>
        <v>-6.6806398613199619E-3</v>
      </c>
      <c r="AE27" s="9">
        <f ca="1">MEDIAN(AE4:AE21)</f>
        <v>3.7862962288355818E-3</v>
      </c>
      <c r="AF27" s="9">
        <f ca="1">MEDIAN(AF4:AF21)</f>
        <v>-5.5033737770778125E-3</v>
      </c>
      <c r="AG27" s="9">
        <f ca="1">MEDIAN(AG4:AG21)</f>
        <v>-1.6156525701376025E-3</v>
      </c>
      <c r="AH27" s="9">
        <f ca="1">MEDIAN(AH4:AH21)</f>
        <v>4.0235788387130026E-3</v>
      </c>
      <c r="AI27" s="9">
        <f ca="1">MEDIAN(AI4:AI21)</f>
        <v>-5.200806324316019E-4</v>
      </c>
      <c r="AJ27" s="9">
        <f ca="1">MEDIAN(AJ4:AJ21)</f>
        <v>-2.4132367517547366E-3</v>
      </c>
      <c r="AK27" s="9">
        <f ca="1">MEDIAN(AK4:AK21)</f>
        <v>3.482078525350281E-4</v>
      </c>
      <c r="AL27" s="9">
        <f ca="1">MEDIAN(AL4:AL21)</f>
        <v>1.0436176209506164E-2</v>
      </c>
      <c r="AM27" s="9">
        <f ca="1">MEDIAN(AM4:AM21)</f>
        <v>-2.5568963928376195E-3</v>
      </c>
      <c r="AN27" s="9">
        <f ca="1">MEDIAN(AN4:AN21)</f>
        <v>9.8471731640426886E-4</v>
      </c>
      <c r="AO27" s="9">
        <f ca="1">MEDIAN(AO4:AO21)</f>
        <v>-5.1002337498349537E-3</v>
      </c>
      <c r="AP27" s="9">
        <f ca="1">MEDIAN(AP4:AP21)</f>
        <v>1.6228475391549073E-3</v>
      </c>
      <c r="AQ27" s="10">
        <f ca="1">MEDIAN(AQ4:AQ21)</f>
        <v>-2.1151756518332848E-3</v>
      </c>
    </row>
    <row r="28" spans="1:65" x14ac:dyDescent="0.3">
      <c r="W28" s="7" t="s">
        <v>70</v>
      </c>
      <c r="X28" s="25">
        <f ca="1">SKEW(X4:X21)</f>
        <v>-0.32815997591249407</v>
      </c>
      <c r="Y28" s="25">
        <f ca="1">SKEW(Y4:Y21)</f>
        <v>-0.76754491946984782</v>
      </c>
      <c r="Z28" s="25">
        <f ca="1">SKEW(Z4:Z21)</f>
        <v>-0.78139463868744974</v>
      </c>
      <c r="AA28" s="25">
        <f ca="1">SKEW(AA4:AA21)</f>
        <v>0.39303698010491683</v>
      </c>
      <c r="AB28" s="25">
        <f ca="1">SKEW(AB4:AB21)</f>
        <v>-0.80346910811817984</v>
      </c>
      <c r="AC28" s="25">
        <f ca="1">SKEW(AC4:AC21)</f>
        <v>-0.74415887747497422</v>
      </c>
      <c r="AD28" s="25">
        <f ca="1">SKEW(AD4:AD21)</f>
        <v>0.71235830556224389</v>
      </c>
      <c r="AE28" s="25">
        <f ca="1">SKEW(AE4:AE21)</f>
        <v>-2.1176322537697225</v>
      </c>
      <c r="AF28" s="25">
        <f ca="1">SKEW(AF4:AF21)</f>
        <v>-4.8070693175484E-2</v>
      </c>
      <c r="AG28" s="25">
        <f ca="1">SKEW(AG4:AG21)</f>
        <v>-8.0247286777529278E-2</v>
      </c>
      <c r="AH28" s="25">
        <f ca="1">SKEW(AH4:AH21)</f>
        <v>0.72969882024054245</v>
      </c>
      <c r="AI28" s="25">
        <f ca="1">SKEW(AI4:AI21)</f>
        <v>-1.1308670390536659</v>
      </c>
      <c r="AJ28" s="25">
        <f ca="1">SKEW(AJ4:AJ21)</f>
        <v>-0.23143230276183624</v>
      </c>
      <c r="AK28" s="25">
        <f ca="1">SKEW(AK4:AK21)</f>
        <v>-0.13068498591819816</v>
      </c>
      <c r="AL28" s="25">
        <f ca="1">SKEW(AL4:AL21)</f>
        <v>0.28129995624265824</v>
      </c>
      <c r="AM28" s="25">
        <f ca="1">SKEW(AM4:AM21)</f>
        <v>1.68372589050543E-2</v>
      </c>
      <c r="AN28" s="25">
        <f ca="1">SKEW(AN4:AN21)</f>
        <v>2.1989022004839581E-2</v>
      </c>
      <c r="AO28" s="25">
        <f ca="1">SKEW(AO4:AO21)</f>
        <v>-0.3473089860340709</v>
      </c>
      <c r="AP28" s="25">
        <f ca="1">SKEW(AP4:AP21)</f>
        <v>-0.91112716970239105</v>
      </c>
      <c r="AQ28" s="27">
        <f ca="1">SKEW(AQ4:AQ21)</f>
        <v>0.95057640389534825</v>
      </c>
    </row>
    <row r="29" spans="1:65" ht="15" thickBot="1" x14ac:dyDescent="0.35">
      <c r="W29" s="8" t="s">
        <v>71</v>
      </c>
      <c r="X29" s="13">
        <f ca="1">KURT(X4:X21)</f>
        <v>0.23693235581852612</v>
      </c>
      <c r="Y29" s="13">
        <f ca="1">KURT(Y4:Y21)</f>
        <v>0.36702782289901492</v>
      </c>
      <c r="Z29" s="13">
        <f ca="1">KURT(Z4:Z21)</f>
        <v>1.1023807239045817</v>
      </c>
      <c r="AA29" s="13">
        <f ca="1">KURT(AA4:AA21)</f>
        <v>-1.2990414955141638E-2</v>
      </c>
      <c r="AB29" s="13">
        <f ca="1">KURT(AB4:AB21)</f>
        <v>0.14696438121614452</v>
      </c>
      <c r="AC29" s="13">
        <f ca="1">KURT(AC4:AC21)</f>
        <v>9.7530426135856274E-2</v>
      </c>
      <c r="AD29" s="13">
        <f ca="1">KURT(AD4:AD21)</f>
        <v>-0.38157147185771256</v>
      </c>
      <c r="AE29" s="13">
        <f ca="1">KURT(AE4:AE21)</f>
        <v>5.2153597900205897</v>
      </c>
      <c r="AF29" s="13">
        <f ca="1">KURT(AF4:AF21)</f>
        <v>-0.96474404914032741</v>
      </c>
      <c r="AG29" s="13">
        <f ca="1">KURT(AG4:AG21)</f>
        <v>-5.0447097317039447E-2</v>
      </c>
      <c r="AH29" s="13">
        <f ca="1">KURT(AH4:AH21)</f>
        <v>4.6903967122481509</v>
      </c>
      <c r="AI29" s="13">
        <f ca="1">KURT(AI4:AI21)</f>
        <v>0.56508774168424036</v>
      </c>
      <c r="AJ29" s="13">
        <f ca="1">KURT(AJ4:AJ21)</f>
        <v>2.0369636124170398</v>
      </c>
      <c r="AK29" s="13">
        <f ca="1">KURT(AK4:AK21)</f>
        <v>1.9978373571500319</v>
      </c>
      <c r="AL29" s="13">
        <f ca="1">KURT(AL4:AL21)</f>
        <v>-0.3029090404188528</v>
      </c>
      <c r="AM29" s="13">
        <f ca="1">KURT(AM4:AM21)</f>
        <v>-0.65848609644708134</v>
      </c>
      <c r="AN29" s="13">
        <f ca="1">KURT(AN4:AN21)</f>
        <v>-0.49557651782717071</v>
      </c>
      <c r="AO29" s="13">
        <f ca="1">KURT(AO4:AO21)</f>
        <v>0.41423707080937344</v>
      </c>
      <c r="AP29" s="13">
        <f ca="1">KURT(AP4:AP21)</f>
        <v>-0.3745038841375572</v>
      </c>
      <c r="AQ29" s="14">
        <f ca="1">KURT(AQ4:AQ21)</f>
        <v>0.7001146495423658</v>
      </c>
    </row>
    <row r="30" spans="1:65" ht="16.2" hidden="1" thickBot="1" x14ac:dyDescent="0.35">
      <c r="W30" s="30" t="s">
        <v>72</v>
      </c>
      <c r="X30" s="15" t="s">
        <v>10</v>
      </c>
      <c r="Y30" s="15" t="s">
        <v>6</v>
      </c>
      <c r="Z30" s="15" t="s">
        <v>13</v>
      </c>
      <c r="AA30" s="15" t="s">
        <v>5</v>
      </c>
      <c r="AB30" s="15" t="s">
        <v>3</v>
      </c>
      <c r="AC30" s="15" t="s">
        <v>4</v>
      </c>
      <c r="AD30" s="15" t="s">
        <v>18</v>
      </c>
      <c r="AE30" s="15" t="s">
        <v>7</v>
      </c>
      <c r="AF30" s="15" t="s">
        <v>21</v>
      </c>
      <c r="AG30" s="15" t="s">
        <v>23</v>
      </c>
      <c r="AH30" s="15" t="s">
        <v>25</v>
      </c>
      <c r="AI30" s="15" t="s">
        <v>27</v>
      </c>
      <c r="AJ30" s="15" t="s">
        <v>29</v>
      </c>
      <c r="AK30" s="15" t="s">
        <v>2</v>
      </c>
      <c r="AL30" s="15" t="s">
        <v>32</v>
      </c>
      <c r="AM30" s="15" t="s">
        <v>34</v>
      </c>
      <c r="AN30" s="15" t="s">
        <v>36</v>
      </c>
      <c r="AO30" s="15" t="s">
        <v>38</v>
      </c>
      <c r="AP30" s="15" t="s">
        <v>40</v>
      </c>
      <c r="AQ30" s="16" t="s">
        <v>42</v>
      </c>
    </row>
    <row r="31" spans="1:65" hidden="1" x14ac:dyDescent="0.3">
      <c r="W31" s="31" t="s">
        <v>10</v>
      </c>
      <c r="X31" s="21">
        <f ca="1">_xlfn.COVARIANCE.S(
  INDEX($X$4:$AQ$21,,MATCH($W31,$X$3:$AQ$3,0)),
  INDEX($X$4:$AQ$21,,MATCH(AT$3,$X$3:$AQ$3,0))
)</f>
        <v>3.9084158125564063E-4</v>
      </c>
      <c r="Y31" s="21">
        <f ca="1">_xlfn.COVARIANCE.S(
  INDEX($X$4:$AQ$21,,MATCH($W31,$X$3:$AQ$3,0)),
  INDEX($X$4:$AQ$21,,MATCH(AU$3,$X$3:$AQ$3,0))
)</f>
        <v>2.7487305630893589E-5</v>
      </c>
      <c r="Z31" s="21">
        <f ca="1">_xlfn.COVARIANCE.S(
  INDEX($X$4:$AQ$21,,MATCH($W31,$X$3:$AQ$3,0)),
  INDEX($X$4:$AQ$21,,MATCH(AV$3,$X$3:$AQ$3,0))
)</f>
        <v>5.7139456808488832E-5</v>
      </c>
      <c r="AA31" s="21">
        <f ca="1">_xlfn.COVARIANCE.S(
  INDEX($X$4:$AQ$21,,MATCH($W31,$X$3:$AQ$3,0)),
  INDEX($X$4:$AQ$21,,MATCH(AW$3,$X$3:$AQ$3,0))
)</f>
        <v>8.4539714657114098E-5</v>
      </c>
      <c r="AB31" s="21">
        <f ca="1">_xlfn.COVARIANCE.S(
  INDEX($X$4:$AQ$21,,MATCH($W31,$X$3:$AQ$3,0)),
  INDEX($X$4:$AQ$21,,MATCH(AX$3,$X$3:$AQ$3,0))
)</f>
        <v>1.7913110161708502E-4</v>
      </c>
      <c r="AC31" s="21">
        <f ca="1">_xlfn.COVARIANCE.S(
  INDEX($X$4:$AQ$21,,MATCH($W31,$X$3:$AQ$3,0)),
  INDEX($X$4:$AQ$21,,MATCH(AY$3,$X$3:$AQ$3,0))
)</f>
        <v>1.7519300319627563E-4</v>
      </c>
      <c r="AD31" s="21">
        <f ca="1">_xlfn.COVARIANCE.S(
  INDEX($X$4:$AQ$21,,MATCH($W31,$X$3:$AQ$3,0)),
  INDEX($X$4:$AQ$21,,MATCH(AZ$3,$X$3:$AQ$3,0))
)</f>
        <v>6.6711574064297162E-5</v>
      </c>
      <c r="AE31" s="21">
        <f ca="1">_xlfn.COVARIANCE.S(
  INDEX($X$4:$AQ$21,,MATCH($W31,$X$3:$AQ$3,0)),
  INDEX($X$4:$AQ$21,,MATCH(BA$3,$X$3:$AQ$3,0))
)</f>
        <v>5.0753807628476776E-4</v>
      </c>
      <c r="AF31" s="21">
        <f ca="1">_xlfn.COVARIANCE.S(
  INDEX($X$4:$AQ$21,,MATCH($W31,$X$3:$AQ$3,0)),
  INDEX($X$4:$AQ$21,,MATCH(BB$3,$X$3:$AQ$3,0))
)</f>
        <v>8.3445299702362169E-5</v>
      </c>
      <c r="AG31" s="21">
        <f ca="1">_xlfn.COVARIANCE.S(
  INDEX($X$4:$AQ$21,,MATCH($W31,$X$3:$AQ$3,0)),
  INDEX($X$4:$AQ$21,,MATCH(BC$3,$X$3:$AQ$3,0))
)</f>
        <v>2.9467747183554478E-4</v>
      </c>
      <c r="AH31" s="21">
        <f ca="1">_xlfn.COVARIANCE.S(
  INDEX($X$4:$AQ$21,,MATCH($W31,$X$3:$AQ$3,0)),
  INDEX($X$4:$AQ$21,,MATCH(BD$3,$X$3:$AQ$3,0))
)</f>
        <v>3.5544937996588778E-4</v>
      </c>
      <c r="AI31" s="21">
        <f ca="1">_xlfn.COVARIANCE.S(
  INDEX($X$4:$AQ$21,,MATCH($W31,$X$3:$AQ$3,0)),
  INDEX($X$4:$AQ$21,,MATCH(BE$3,$X$3:$AQ$3,0))
)</f>
        <v>-7.1193651443574222E-5</v>
      </c>
      <c r="AJ31" s="21">
        <f ca="1">_xlfn.COVARIANCE.S(
  INDEX($X$4:$AQ$21,,MATCH($W31,$X$3:$AQ$3,0)),
  INDEX($X$4:$AQ$21,,MATCH(BF$3,$X$3:$AQ$3,0))
)</f>
        <v>-3.5923405348439948E-5</v>
      </c>
      <c r="AK31" s="21">
        <f ca="1">_xlfn.COVARIANCE.S(
  INDEX($X$4:$AQ$21,,MATCH($W31,$X$3:$AQ$3,0)),
  INDEX($X$4:$AQ$21,,MATCH(BG$3,$X$3:$AQ$3,0))
)</f>
        <v>4.1760911228150039E-4</v>
      </c>
      <c r="AL31" s="21">
        <f ca="1">_xlfn.COVARIANCE.S(
  INDEX($X$4:$AQ$21,,MATCH($W31,$X$3:$AQ$3,0)),
  INDEX($X$4:$AQ$21,,MATCH(BH$3,$X$3:$AQ$3,0))
)</f>
        <v>5.3466214794849762E-4</v>
      </c>
      <c r="AM31" s="21">
        <f ca="1">_xlfn.COVARIANCE.S(
  INDEX($X$4:$AQ$21,,MATCH($W31,$X$3:$AQ$3,0)),
  INDEX($X$4:$AQ$21,,MATCH(BI$3,$X$3:$AQ$3,0))
)</f>
        <v>1.5008707236786813E-4</v>
      </c>
      <c r="AN31" s="21">
        <f ca="1">_xlfn.COVARIANCE.S(
  INDEX($X$4:$AQ$21,,MATCH($W31,$X$3:$AQ$3,0)),
  INDEX($X$4:$AQ$21,,MATCH(BJ$3,$X$3:$AQ$3,0))
)</f>
        <v>1.1846733890702702E-4</v>
      </c>
      <c r="AO31" s="21">
        <f ca="1">_xlfn.COVARIANCE.S(
  INDEX($X$4:$AQ$21,,MATCH($W31,$X$3:$AQ$3,0)),
  INDEX($X$4:$AQ$21,,MATCH(BK$3,$X$3:$AQ$3,0))
)</f>
        <v>2.9985346090104161E-4</v>
      </c>
      <c r="AP31" s="21">
        <f ca="1">_xlfn.COVARIANCE.S(
  INDEX($X$4:$AQ$21,,MATCH($W31,$X$3:$AQ$3,0)),
  INDEX($X$4:$AQ$21,,MATCH(BL$3,$X$3:$AQ$3,0))
)</f>
        <v>-5.1014486984780168E-5</v>
      </c>
      <c r="AQ31" s="22">
        <f ca="1">_xlfn.COVARIANCE.S(
  INDEX($X$4:$AQ$21,,MATCH($W31,$X$3:$AQ$3,0)),
  INDEX($X$4:$AQ$21,,MATCH(BM$3,$X$3:$AQ$3,0))
)</f>
        <v>9.0587477100602642E-5</v>
      </c>
    </row>
    <row r="32" spans="1:65" hidden="1" x14ac:dyDescent="0.3">
      <c r="W32" s="31" t="s">
        <v>6</v>
      </c>
      <c r="X32" s="21">
        <f ca="1">_xlfn.COVARIANCE.S(
  INDEX($X$4:$AQ$21,,MATCH($W32,$X$3:$AQ$3,0)),
  INDEX($X$4:$AQ$21,,MATCH(AT$3,$X$3:$AQ$3,0))
)</f>
        <v>2.7487305630893589E-5</v>
      </c>
      <c r="Y32" s="21">
        <f ca="1">_xlfn.COVARIANCE.S(
  INDEX($X$4:$AQ$21,,MATCH($W32,$X$3:$AQ$3,0)),
  INDEX($X$4:$AQ$21,,MATCH(AU$3,$X$3:$AQ$3,0))
)</f>
        <v>3.3611353287364553E-5</v>
      </c>
      <c r="Z32" s="21">
        <f ca="1">_xlfn.COVARIANCE.S(
  INDEX($X$4:$AQ$21,,MATCH($W32,$X$3:$AQ$3,0)),
  INDEX($X$4:$AQ$21,,MATCH(AV$3,$X$3:$AQ$3,0))
)</f>
        <v>2.4505951649962815E-6</v>
      </c>
      <c r="AA32" s="21">
        <f ca="1">_xlfn.COVARIANCE.S(
  INDEX($X$4:$AQ$21,,MATCH($W32,$X$3:$AQ$3,0)),
  INDEX($X$4:$AQ$21,,MATCH(AW$3,$X$3:$AQ$3,0))
)</f>
        <v>3.3982423915221964E-5</v>
      </c>
      <c r="AB32" s="21">
        <f ca="1">_xlfn.COVARIANCE.S(
  INDEX($X$4:$AQ$21,,MATCH($W32,$X$3:$AQ$3,0)),
  INDEX($X$4:$AQ$21,,MATCH(AX$3,$X$3:$AQ$3,0))
)</f>
        <v>3.4818508794637367E-5</v>
      </c>
      <c r="AC32" s="21">
        <f ca="1">_xlfn.COVARIANCE.S(
  INDEX($X$4:$AQ$21,,MATCH($W32,$X$3:$AQ$3,0)),
  INDEX($X$4:$AQ$21,,MATCH(AY$3,$X$3:$AQ$3,0))
)</f>
        <v>3.4726737010144414E-5</v>
      </c>
      <c r="AD32" s="21">
        <f ca="1">_xlfn.COVARIANCE.S(
  INDEX($X$4:$AQ$21,,MATCH($W32,$X$3:$AQ$3,0)),
  INDEX($X$4:$AQ$21,,MATCH(AZ$3,$X$3:$AQ$3,0))
)</f>
        <v>2.911390868978903E-6</v>
      </c>
      <c r="AE32" s="21">
        <f ca="1">_xlfn.COVARIANCE.S(
  INDEX($X$4:$AQ$21,,MATCH($W32,$X$3:$AQ$3,0)),
  INDEX($X$4:$AQ$21,,MATCH(BA$3,$X$3:$AQ$3,0))
)</f>
        <v>8.0168950097765716E-5</v>
      </c>
      <c r="AF32" s="21">
        <f ca="1">_xlfn.COVARIANCE.S(
  INDEX($X$4:$AQ$21,,MATCH($W32,$X$3:$AQ$3,0)),
  INDEX($X$4:$AQ$21,,MATCH(BB$3,$X$3:$AQ$3,0))
)</f>
        <v>7.7407794846170476E-6</v>
      </c>
      <c r="AG32" s="21">
        <f ca="1">_xlfn.COVARIANCE.S(
  INDEX($X$4:$AQ$21,,MATCH($W32,$X$3:$AQ$3,0)),
  INDEX($X$4:$AQ$21,,MATCH(BC$3,$X$3:$AQ$3,0))
)</f>
        <v>7.4609059754505058E-5</v>
      </c>
      <c r="AH32" s="21">
        <f ca="1">_xlfn.COVARIANCE.S(
  INDEX($X$4:$AQ$21,,MATCH($W32,$X$3:$AQ$3,0)),
  INDEX($X$4:$AQ$21,,MATCH(BD$3,$X$3:$AQ$3,0))
)</f>
        <v>2.3137228784940881E-5</v>
      </c>
      <c r="AI32" s="21">
        <f ca="1">_xlfn.COVARIANCE.S(
  INDEX($X$4:$AQ$21,,MATCH($W32,$X$3:$AQ$3,0)),
  INDEX($X$4:$AQ$21,,MATCH(BE$3,$X$3:$AQ$3,0))
)</f>
        <v>8.9662135699900538E-6</v>
      </c>
      <c r="AJ32" s="21">
        <f ca="1">_xlfn.COVARIANCE.S(
  INDEX($X$4:$AQ$21,,MATCH($W32,$X$3:$AQ$3,0)),
  INDEX($X$4:$AQ$21,,MATCH(BF$3,$X$3:$AQ$3,0))
)</f>
        <v>2.5612688283164385E-5</v>
      </c>
      <c r="AK32" s="21">
        <f ca="1">_xlfn.COVARIANCE.S(
  INDEX($X$4:$AQ$21,,MATCH($W32,$X$3:$AQ$3,0)),
  INDEX($X$4:$AQ$21,,MATCH(BG$3,$X$3:$AQ$3,0))
)</f>
        <v>5.3341947482535907E-5</v>
      </c>
      <c r="AL32" s="21">
        <f ca="1">_xlfn.COVARIANCE.S(
  INDEX($X$4:$AQ$21,,MATCH($W32,$X$3:$AQ$3,0)),
  INDEX($X$4:$AQ$21,,MATCH(BH$3,$X$3:$AQ$3,0))
)</f>
        <v>6.8577826097908956E-5</v>
      </c>
      <c r="AM32" s="21">
        <f ca="1">_xlfn.COVARIANCE.S(
  INDEX($X$4:$AQ$21,,MATCH($W32,$X$3:$AQ$3,0)),
  INDEX($X$4:$AQ$21,,MATCH(BI$3,$X$3:$AQ$3,0))
)</f>
        <v>1.7172786220038293E-5</v>
      </c>
      <c r="AN32" s="21">
        <f ca="1">_xlfn.COVARIANCE.S(
  INDEX($X$4:$AQ$21,,MATCH($W32,$X$3:$AQ$3,0)),
  INDEX($X$4:$AQ$21,,MATCH(BJ$3,$X$3:$AQ$3,0))
)</f>
        <v>9.0259207825708338E-6</v>
      </c>
      <c r="AO32" s="21">
        <f ca="1">_xlfn.COVARIANCE.S(
  INDEX($X$4:$AQ$21,,MATCH($W32,$X$3:$AQ$3,0)),
  INDEX($X$4:$AQ$21,,MATCH(BK$3,$X$3:$AQ$3,0))
)</f>
        <v>7.0208704299823365E-6</v>
      </c>
      <c r="AP32" s="21">
        <f ca="1">_xlfn.COVARIANCE.S(
  INDEX($X$4:$AQ$21,,MATCH($W32,$X$3:$AQ$3,0)),
  INDEX($X$4:$AQ$21,,MATCH(BL$3,$X$3:$AQ$3,0))
)</f>
        <v>-9.3471319285790932E-6</v>
      </c>
      <c r="AQ32" s="22">
        <f ca="1">_xlfn.COVARIANCE.S(
  INDEX($X$4:$AQ$21,,MATCH($W32,$X$3:$AQ$3,0)),
  INDEX($X$4:$AQ$21,,MATCH(BM$3,$X$3:$AQ$3,0))
)</f>
        <v>6.8852628627868331E-5</v>
      </c>
    </row>
    <row r="33" spans="23:43" hidden="1" x14ac:dyDescent="0.3">
      <c r="W33" s="31" t="s">
        <v>13</v>
      </c>
      <c r="X33" s="21">
        <f ca="1">_xlfn.COVARIANCE.S(
  INDEX($X$4:$AQ$21,,MATCH($W33,$X$3:$AQ$3,0)),
  INDEX($X$4:$AQ$21,,MATCH(AT$3,$X$3:$AQ$3,0))
)</f>
        <v>5.7139456808488832E-5</v>
      </c>
      <c r="Y33" s="21">
        <f ca="1">_xlfn.COVARIANCE.S(
  INDEX($X$4:$AQ$21,,MATCH($W33,$X$3:$AQ$3,0)),
  INDEX($X$4:$AQ$21,,MATCH(AU$3,$X$3:$AQ$3,0))
)</f>
        <v>2.4505951649962815E-6</v>
      </c>
      <c r="Z33" s="21">
        <f ca="1">_xlfn.COVARIANCE.S(
  INDEX($X$4:$AQ$21,,MATCH($W33,$X$3:$AQ$3,0)),
  INDEX($X$4:$AQ$21,,MATCH(AV$3,$X$3:$AQ$3,0))
)</f>
        <v>1.2731393053039576E-4</v>
      </c>
      <c r="AA33" s="21">
        <f ca="1">_xlfn.COVARIANCE.S(
  INDEX($X$4:$AQ$21,,MATCH($W33,$X$3:$AQ$3,0)),
  INDEX($X$4:$AQ$21,,MATCH(AW$3,$X$3:$AQ$3,0))
)</f>
        <v>3.1851839077956175E-5</v>
      </c>
      <c r="AB33" s="21">
        <f ca="1">_xlfn.COVARIANCE.S(
  INDEX($X$4:$AQ$21,,MATCH($W33,$X$3:$AQ$3,0)),
  INDEX($X$4:$AQ$21,,MATCH(AX$3,$X$3:$AQ$3,0))
)</f>
        <v>-2.8968980974712605E-5</v>
      </c>
      <c r="AC33" s="21">
        <f ca="1">_xlfn.COVARIANCE.S(
  INDEX($X$4:$AQ$21,,MATCH($W33,$X$3:$AQ$3,0)),
  INDEX($X$4:$AQ$21,,MATCH(AY$3,$X$3:$AQ$3,0))
)</f>
        <v>-2.631372883067553E-5</v>
      </c>
      <c r="AD33" s="21">
        <f ca="1">_xlfn.COVARIANCE.S(
  INDEX($X$4:$AQ$21,,MATCH($W33,$X$3:$AQ$3,0)),
  INDEX($X$4:$AQ$21,,MATCH(AZ$3,$X$3:$AQ$3,0))
)</f>
        <v>6.0635175362520035E-5</v>
      </c>
      <c r="AE33" s="21">
        <f ca="1">_xlfn.COVARIANCE.S(
  INDEX($X$4:$AQ$21,,MATCH($W33,$X$3:$AQ$3,0)),
  INDEX($X$4:$AQ$21,,MATCH(BA$3,$X$3:$AQ$3,0))
)</f>
        <v>1.0897112843401517E-4</v>
      </c>
      <c r="AF33" s="21">
        <f ca="1">_xlfn.COVARIANCE.S(
  INDEX($X$4:$AQ$21,,MATCH($W33,$X$3:$AQ$3,0)),
  INDEX($X$4:$AQ$21,,MATCH(BB$3,$X$3:$AQ$3,0))
)</f>
        <v>-1.7293559668036889E-5</v>
      </c>
      <c r="AG33" s="21">
        <f ca="1">_xlfn.COVARIANCE.S(
  INDEX($X$4:$AQ$21,,MATCH($W33,$X$3:$AQ$3,0)),
  INDEX($X$4:$AQ$21,,MATCH(BC$3,$X$3:$AQ$3,0))
)</f>
        <v>9.8092976889655698E-5</v>
      </c>
      <c r="AH33" s="21">
        <f ca="1">_xlfn.COVARIANCE.S(
  INDEX($X$4:$AQ$21,,MATCH($W33,$X$3:$AQ$3,0)),
  INDEX($X$4:$AQ$21,,MATCH(BD$3,$X$3:$AQ$3,0))
)</f>
        <v>-5.2925521585932613E-5</v>
      </c>
      <c r="AI33" s="21">
        <f ca="1">_xlfn.COVARIANCE.S(
  INDEX($X$4:$AQ$21,,MATCH($W33,$X$3:$AQ$3,0)),
  INDEX($X$4:$AQ$21,,MATCH(BE$3,$X$3:$AQ$3,0))
)</f>
        <v>7.3645943241888747E-5</v>
      </c>
      <c r="AJ33" s="21">
        <f ca="1">_xlfn.COVARIANCE.S(
  INDEX($X$4:$AQ$21,,MATCH($W33,$X$3:$AQ$3,0)),
  INDEX($X$4:$AQ$21,,MATCH(BF$3,$X$3:$AQ$3,0))
)</f>
        <v>4.7332807364051435E-5</v>
      </c>
      <c r="AK33" s="21">
        <f ca="1">_xlfn.COVARIANCE.S(
  INDEX($X$4:$AQ$21,,MATCH($W33,$X$3:$AQ$3,0)),
  INDEX($X$4:$AQ$21,,MATCH(BG$3,$X$3:$AQ$3,0))
)</f>
        <v>3.1044656420654028E-5</v>
      </c>
      <c r="AL33" s="21">
        <f ca="1">_xlfn.COVARIANCE.S(
  INDEX($X$4:$AQ$21,,MATCH($W33,$X$3:$AQ$3,0)),
  INDEX($X$4:$AQ$21,,MATCH(BH$3,$X$3:$AQ$3,0))
)</f>
        <v>1.050599652644013E-5</v>
      </c>
      <c r="AM33" s="21">
        <f ca="1">_xlfn.COVARIANCE.S(
  INDEX($X$4:$AQ$21,,MATCH($W33,$X$3:$AQ$3,0)),
  INDEX($X$4:$AQ$21,,MATCH(BI$3,$X$3:$AQ$3,0))
)</f>
        <v>3.1087361873477739E-5</v>
      </c>
      <c r="AN33" s="21">
        <f ca="1">_xlfn.COVARIANCE.S(
  INDEX($X$4:$AQ$21,,MATCH($W33,$X$3:$AQ$3,0)),
  INDEX($X$4:$AQ$21,,MATCH(BJ$3,$X$3:$AQ$3,0))
)</f>
        <v>-1.349182909634451E-5</v>
      </c>
      <c r="AO33" s="21">
        <f ca="1">_xlfn.COVARIANCE.S(
  INDEX($X$4:$AQ$21,,MATCH($W33,$X$3:$AQ$3,0)),
  INDEX($X$4:$AQ$21,,MATCH(BK$3,$X$3:$AQ$3,0))
)</f>
        <v>2.809791860723357E-4</v>
      </c>
      <c r="AP33" s="21">
        <f ca="1">_xlfn.COVARIANCE.S(
  INDEX($X$4:$AQ$21,,MATCH($W33,$X$3:$AQ$3,0)),
  INDEX($X$4:$AQ$21,,MATCH(BL$3,$X$3:$AQ$3,0))
)</f>
        <v>4.7596482043833638E-5</v>
      </c>
      <c r="AQ33" s="22">
        <f ca="1">_xlfn.COVARIANCE.S(
  INDEX($X$4:$AQ$21,,MATCH($W33,$X$3:$AQ$3,0)),
  INDEX($X$4:$AQ$21,,MATCH(BM$3,$X$3:$AQ$3,0))
)</f>
        <v>-2.3704188759172167E-5</v>
      </c>
    </row>
    <row r="34" spans="23:43" hidden="1" x14ac:dyDescent="0.3">
      <c r="W34" s="31" t="s">
        <v>5</v>
      </c>
      <c r="X34" s="21">
        <f ca="1">_xlfn.COVARIANCE.S(
  INDEX($X$4:$AQ$21,,MATCH($W34,$X$3:$AQ$3,0)),
  INDEX($X$4:$AQ$21,,MATCH(AT$3,$X$3:$AQ$3,0))
)</f>
        <v>8.4539714657114098E-5</v>
      </c>
      <c r="Y34" s="21">
        <f ca="1">_xlfn.COVARIANCE.S(
  INDEX($X$4:$AQ$21,,MATCH($W34,$X$3:$AQ$3,0)),
  INDEX($X$4:$AQ$21,,MATCH(AU$3,$X$3:$AQ$3,0))
)</f>
        <v>3.3982423915221964E-5</v>
      </c>
      <c r="Z34" s="21">
        <f ca="1">_xlfn.COVARIANCE.S(
  INDEX($X$4:$AQ$21,,MATCH($W34,$X$3:$AQ$3,0)),
  INDEX($X$4:$AQ$21,,MATCH(AV$3,$X$3:$AQ$3,0))
)</f>
        <v>3.1851839077956175E-5</v>
      </c>
      <c r="AA34" s="21">
        <f ca="1">_xlfn.COVARIANCE.S(
  INDEX($X$4:$AQ$21,,MATCH($W34,$X$3:$AQ$3,0)),
  INDEX($X$4:$AQ$21,,MATCH(AW$3,$X$3:$AQ$3,0))
)</f>
        <v>1.410772296234287E-4</v>
      </c>
      <c r="AB34" s="21">
        <f ca="1">_xlfn.COVARIANCE.S(
  INDEX($X$4:$AQ$21,,MATCH($W34,$X$3:$AQ$3,0)),
  INDEX($X$4:$AQ$21,,MATCH(AX$3,$X$3:$AQ$3,0))
)</f>
        <v>1.0215634845926059E-4</v>
      </c>
      <c r="AC34" s="21">
        <f ca="1">_xlfn.COVARIANCE.S(
  INDEX($X$4:$AQ$21,,MATCH($W34,$X$3:$AQ$3,0)),
  INDEX($X$4:$AQ$21,,MATCH(AY$3,$X$3:$AQ$3,0))
)</f>
        <v>1.0350472946066745E-4</v>
      </c>
      <c r="AD34" s="21">
        <f ca="1">_xlfn.COVARIANCE.S(
  INDEX($X$4:$AQ$21,,MATCH($W34,$X$3:$AQ$3,0)),
  INDEX($X$4:$AQ$21,,MATCH(AZ$3,$X$3:$AQ$3,0))
)</f>
        <v>6.2323725907940928E-5</v>
      </c>
      <c r="AE34" s="21">
        <f ca="1">_xlfn.COVARIANCE.S(
  INDEX($X$4:$AQ$21,,MATCH($W34,$X$3:$AQ$3,0)),
  INDEX($X$4:$AQ$21,,MATCH(BA$3,$X$3:$AQ$3,0))
)</f>
        <v>2.4608382423272631E-4</v>
      </c>
      <c r="AF34" s="21">
        <f ca="1">_xlfn.COVARIANCE.S(
  INDEX($X$4:$AQ$21,,MATCH($W34,$X$3:$AQ$3,0)),
  INDEX($X$4:$AQ$21,,MATCH(BB$3,$X$3:$AQ$3,0))
)</f>
        <v>7.9356169346063489E-5</v>
      </c>
      <c r="AG34" s="21">
        <f ca="1">_xlfn.COVARIANCE.S(
  INDEX($X$4:$AQ$21,,MATCH($W34,$X$3:$AQ$3,0)),
  INDEX($X$4:$AQ$21,,MATCH(BC$3,$X$3:$AQ$3,0))
)</f>
        <v>2.2049697042343967E-4</v>
      </c>
      <c r="AH34" s="21">
        <f ca="1">_xlfn.COVARIANCE.S(
  INDEX($X$4:$AQ$21,,MATCH($W34,$X$3:$AQ$3,0)),
  INDEX($X$4:$AQ$21,,MATCH(BD$3,$X$3:$AQ$3,0))
)</f>
        <v>-6.254854224177389E-6</v>
      </c>
      <c r="AI34" s="21">
        <f ca="1">_xlfn.COVARIANCE.S(
  INDEX($X$4:$AQ$21,,MATCH($W34,$X$3:$AQ$3,0)),
  INDEX($X$4:$AQ$21,,MATCH(BE$3,$X$3:$AQ$3,0))
)</f>
        <v>-4.9686666172312602E-6</v>
      </c>
      <c r="AJ34" s="21">
        <f ca="1">_xlfn.COVARIANCE.S(
  INDEX($X$4:$AQ$21,,MATCH($W34,$X$3:$AQ$3,0)),
  INDEX($X$4:$AQ$21,,MATCH(BF$3,$X$3:$AQ$3,0))
)</f>
        <v>1.7148753430442498E-5</v>
      </c>
      <c r="AK34" s="21">
        <f ca="1">_xlfn.COVARIANCE.S(
  INDEX($X$4:$AQ$21,,MATCH($W34,$X$3:$AQ$3,0)),
  INDEX($X$4:$AQ$21,,MATCH(BG$3,$X$3:$AQ$3,0))
)</f>
        <v>6.3114406916864779E-5</v>
      </c>
      <c r="AL34" s="21">
        <f ca="1">_xlfn.COVARIANCE.S(
  INDEX($X$4:$AQ$21,,MATCH($W34,$X$3:$AQ$3,0)),
  INDEX($X$4:$AQ$21,,MATCH(BH$3,$X$3:$AQ$3,0))
)</f>
        <v>1.9754142252401171E-4</v>
      </c>
      <c r="AM34" s="21">
        <f ca="1">_xlfn.COVARIANCE.S(
  INDEX($X$4:$AQ$21,,MATCH($W34,$X$3:$AQ$3,0)),
  INDEX($X$4:$AQ$21,,MATCH(BI$3,$X$3:$AQ$3,0))
)</f>
        <v>6.3439665486659798E-5</v>
      </c>
      <c r="AN34" s="21">
        <f ca="1">_xlfn.COVARIANCE.S(
  INDEX($X$4:$AQ$21,,MATCH($W34,$X$3:$AQ$3,0)),
  INDEX($X$4:$AQ$21,,MATCH(BJ$3,$X$3:$AQ$3,0))
)</f>
        <v>3.2231327469023913E-5</v>
      </c>
      <c r="AO34" s="21">
        <f ca="1">_xlfn.COVARIANCE.S(
  INDEX($X$4:$AQ$21,,MATCH($W34,$X$3:$AQ$3,0)),
  INDEX($X$4:$AQ$21,,MATCH(BK$3,$X$3:$AQ$3,0))
)</f>
        <v>2.4021879156424926E-4</v>
      </c>
      <c r="AP34" s="21">
        <f ca="1">_xlfn.COVARIANCE.S(
  INDEX($X$4:$AQ$21,,MATCH($W34,$X$3:$AQ$3,0)),
  INDEX($X$4:$AQ$21,,MATCH(BL$3,$X$3:$AQ$3,0))
)</f>
        <v>6.6803114713836111E-6</v>
      </c>
      <c r="AQ34" s="22">
        <f ca="1">_xlfn.COVARIANCE.S(
  INDEX($X$4:$AQ$21,,MATCH($W34,$X$3:$AQ$3,0)),
  INDEX($X$4:$AQ$21,,MATCH(BM$3,$X$3:$AQ$3,0))
)</f>
        <v>1.8433474969005231E-4</v>
      </c>
    </row>
    <row r="35" spans="23:43" hidden="1" x14ac:dyDescent="0.3">
      <c r="W35" s="31" t="s">
        <v>3</v>
      </c>
      <c r="X35" s="21">
        <f ca="1">_xlfn.COVARIANCE.S(
  INDEX($X$4:$AQ$21,,MATCH($W35,$X$3:$AQ$3,0)),
  INDEX($X$4:$AQ$21,,MATCH(AT$3,$X$3:$AQ$3,0))
)</f>
        <v>1.7913110161708502E-4</v>
      </c>
      <c r="Y35" s="21">
        <f ca="1">_xlfn.COVARIANCE.S(
  INDEX($X$4:$AQ$21,,MATCH($W35,$X$3:$AQ$3,0)),
  INDEX($X$4:$AQ$21,,MATCH(AU$3,$X$3:$AQ$3,0))
)</f>
        <v>3.4818508794637367E-5</v>
      </c>
      <c r="Z35" s="21">
        <f ca="1">_xlfn.COVARIANCE.S(
  INDEX($X$4:$AQ$21,,MATCH($W35,$X$3:$AQ$3,0)),
  INDEX($X$4:$AQ$21,,MATCH(AV$3,$X$3:$AQ$3,0))
)</f>
        <v>-2.8968980974712605E-5</v>
      </c>
      <c r="AA35" s="21">
        <f ca="1">_xlfn.COVARIANCE.S(
  INDEX($X$4:$AQ$21,,MATCH($W35,$X$3:$AQ$3,0)),
  INDEX($X$4:$AQ$21,,MATCH(AW$3,$X$3:$AQ$3,0))
)</f>
        <v>1.0215634845926059E-4</v>
      </c>
      <c r="AB35" s="21">
        <f ca="1">_xlfn.COVARIANCE.S(
  INDEX($X$4:$AQ$21,,MATCH($W35,$X$3:$AQ$3,0)),
  INDEX($X$4:$AQ$21,,MATCH(AX$3,$X$3:$AQ$3,0))
)</f>
        <v>2.0705806647463023E-4</v>
      </c>
      <c r="AC35" s="21">
        <f ca="1">_xlfn.COVARIANCE.S(
  INDEX($X$4:$AQ$21,,MATCH($W35,$X$3:$AQ$3,0)),
  INDEX($X$4:$AQ$21,,MATCH(AY$3,$X$3:$AQ$3,0))
)</f>
        <v>2.0238845938258301E-4</v>
      </c>
      <c r="AD35" s="21">
        <f ca="1">_xlfn.COVARIANCE.S(
  INDEX($X$4:$AQ$21,,MATCH($W35,$X$3:$AQ$3,0)),
  INDEX($X$4:$AQ$21,,MATCH(AZ$3,$X$3:$AQ$3,0))
)</f>
        <v>3.6004550623902271E-5</v>
      </c>
      <c r="AE35" s="21">
        <f ca="1">_xlfn.COVARIANCE.S(
  INDEX($X$4:$AQ$21,,MATCH($W35,$X$3:$AQ$3,0)),
  INDEX($X$4:$AQ$21,,MATCH(BA$3,$X$3:$AQ$3,0))
)</f>
        <v>2.3118917201690414E-4</v>
      </c>
      <c r="AF35" s="21">
        <f ca="1">_xlfn.COVARIANCE.S(
  INDEX($X$4:$AQ$21,,MATCH($W35,$X$3:$AQ$3,0)),
  INDEX($X$4:$AQ$21,,MATCH(BB$3,$X$3:$AQ$3,0))
)</f>
        <v>1.6362236068454922E-4</v>
      </c>
      <c r="AG35" s="21">
        <f ca="1">_xlfn.COVARIANCE.S(
  INDEX($X$4:$AQ$21,,MATCH($W35,$X$3:$AQ$3,0)),
  INDEX($X$4:$AQ$21,,MATCH(BC$3,$X$3:$AQ$3,0))
)</f>
        <v>2.0840019270119032E-4</v>
      </c>
      <c r="AH35" s="21">
        <f ca="1">_xlfn.COVARIANCE.S(
  INDEX($X$4:$AQ$21,,MATCH($W35,$X$3:$AQ$3,0)),
  INDEX($X$4:$AQ$21,,MATCH(BD$3,$X$3:$AQ$3,0))
)</f>
        <v>1.8715393815527299E-4</v>
      </c>
      <c r="AI35" s="21">
        <f ca="1">_xlfn.COVARIANCE.S(
  INDEX($X$4:$AQ$21,,MATCH($W35,$X$3:$AQ$3,0)),
  INDEX($X$4:$AQ$21,,MATCH(BE$3,$X$3:$AQ$3,0))
)</f>
        <v>-3.7067205008564875E-5</v>
      </c>
      <c r="AJ35" s="21">
        <f ca="1">_xlfn.COVARIANCE.S(
  INDEX($X$4:$AQ$21,,MATCH($W35,$X$3:$AQ$3,0)),
  INDEX($X$4:$AQ$21,,MATCH(BF$3,$X$3:$AQ$3,0))
)</f>
        <v>-2.7726560246193338E-5</v>
      </c>
      <c r="AK35" s="21">
        <f ca="1">_xlfn.COVARIANCE.S(
  INDEX($X$4:$AQ$21,,MATCH($W35,$X$3:$AQ$3,0)),
  INDEX($X$4:$AQ$21,,MATCH(BG$3,$X$3:$AQ$3,0))
)</f>
        <v>2.0889541309906771E-4</v>
      </c>
      <c r="AL35" s="21">
        <f ca="1">_xlfn.COVARIANCE.S(
  INDEX($X$4:$AQ$21,,MATCH($W35,$X$3:$AQ$3,0)),
  INDEX($X$4:$AQ$21,,MATCH(BH$3,$X$3:$AQ$3,0))
)</f>
        <v>3.7235845435293948E-4</v>
      </c>
      <c r="AM35" s="21">
        <f ca="1">_xlfn.COVARIANCE.S(
  INDEX($X$4:$AQ$21,,MATCH($W35,$X$3:$AQ$3,0)),
  INDEX($X$4:$AQ$21,,MATCH(BI$3,$X$3:$AQ$3,0))
)</f>
        <v>8.5653290807226283E-5</v>
      </c>
      <c r="AN35" s="21">
        <f ca="1">_xlfn.COVARIANCE.S(
  INDEX($X$4:$AQ$21,,MATCH($W35,$X$3:$AQ$3,0)),
  INDEX($X$4:$AQ$21,,MATCH(BJ$3,$X$3:$AQ$3,0))
)</f>
        <v>5.7654131935278858E-5</v>
      </c>
      <c r="AO35" s="21">
        <f ca="1">_xlfn.COVARIANCE.S(
  INDEX($X$4:$AQ$21,,MATCH($W35,$X$3:$AQ$3,0)),
  INDEX($X$4:$AQ$21,,MATCH(BK$3,$X$3:$AQ$3,0))
)</f>
        <v>1.4899458683129645E-4</v>
      </c>
      <c r="AP35" s="21">
        <f ca="1">_xlfn.COVARIANCE.S(
  INDEX($X$4:$AQ$21,,MATCH($W35,$X$3:$AQ$3,0)),
  INDEX($X$4:$AQ$21,,MATCH(BL$3,$X$3:$AQ$3,0))
)</f>
        <v>-2.4741390423258365E-5</v>
      </c>
      <c r="AQ35" s="22">
        <f ca="1">_xlfn.COVARIANCE.S(
  INDEX($X$4:$AQ$21,,MATCH($W35,$X$3:$AQ$3,0)),
  INDEX($X$4:$AQ$21,,MATCH(BM$3,$X$3:$AQ$3,0))
)</f>
        <v>1.4742288475815462E-4</v>
      </c>
    </row>
    <row r="36" spans="23:43" hidden="1" x14ac:dyDescent="0.3">
      <c r="W36" s="31" t="s">
        <v>4</v>
      </c>
      <c r="X36" s="21">
        <f ca="1">_xlfn.COVARIANCE.S(
  INDEX($X$4:$AQ$21,,MATCH($W36,$X$3:$AQ$3,0)),
  INDEX($X$4:$AQ$21,,MATCH(AT$3,$X$3:$AQ$3,0))
)</f>
        <v>1.7519300319627563E-4</v>
      </c>
      <c r="Y36" s="21">
        <f ca="1">_xlfn.COVARIANCE.S(
  INDEX($X$4:$AQ$21,,MATCH($W36,$X$3:$AQ$3,0)),
  INDEX($X$4:$AQ$21,,MATCH(AU$3,$X$3:$AQ$3,0))
)</f>
        <v>3.4726737010144414E-5</v>
      </c>
      <c r="Z36" s="21">
        <f ca="1">_xlfn.COVARIANCE.S(
  INDEX($X$4:$AQ$21,,MATCH($W36,$X$3:$AQ$3,0)),
  INDEX($X$4:$AQ$21,,MATCH(AV$3,$X$3:$AQ$3,0))
)</f>
        <v>-2.631372883067553E-5</v>
      </c>
      <c r="AA36" s="21">
        <f ca="1">_xlfn.COVARIANCE.S(
  INDEX($X$4:$AQ$21,,MATCH($W36,$X$3:$AQ$3,0)),
  INDEX($X$4:$AQ$21,,MATCH(AW$3,$X$3:$AQ$3,0))
)</f>
        <v>1.0350472946066745E-4</v>
      </c>
      <c r="AB36" s="21">
        <f ca="1">_xlfn.COVARIANCE.S(
  INDEX($X$4:$AQ$21,,MATCH($W36,$X$3:$AQ$3,0)),
  INDEX($X$4:$AQ$21,,MATCH(AX$3,$X$3:$AQ$3,0))
)</f>
        <v>2.0238845938258301E-4</v>
      </c>
      <c r="AC36" s="21">
        <f ca="1">_xlfn.COVARIANCE.S(
  INDEX($X$4:$AQ$21,,MATCH($W36,$X$3:$AQ$3,0)),
  INDEX($X$4:$AQ$21,,MATCH(AY$3,$X$3:$AQ$3,0))
)</f>
        <v>1.9849734671529984E-4</v>
      </c>
      <c r="AD36" s="21">
        <f ca="1">_xlfn.COVARIANCE.S(
  INDEX($X$4:$AQ$21,,MATCH($W36,$X$3:$AQ$3,0)),
  INDEX($X$4:$AQ$21,,MATCH(AZ$3,$X$3:$AQ$3,0))
)</f>
        <v>3.760242105402026E-5</v>
      </c>
      <c r="AE36" s="21">
        <f ca="1">_xlfn.COVARIANCE.S(
  INDEX($X$4:$AQ$21,,MATCH($W36,$X$3:$AQ$3,0)),
  INDEX($X$4:$AQ$21,,MATCH(BA$3,$X$3:$AQ$3,0))
)</f>
        <v>2.2864992161636508E-4</v>
      </c>
      <c r="AF36" s="21">
        <f ca="1">_xlfn.COVARIANCE.S(
  INDEX($X$4:$AQ$21,,MATCH($W36,$X$3:$AQ$3,0)),
  INDEX($X$4:$AQ$21,,MATCH(BB$3,$X$3:$AQ$3,0))
)</f>
        <v>1.6785649362670735E-4</v>
      </c>
      <c r="AG36" s="21">
        <f ca="1">_xlfn.COVARIANCE.S(
  INDEX($X$4:$AQ$21,,MATCH($W36,$X$3:$AQ$3,0)),
  INDEX($X$4:$AQ$21,,MATCH(BC$3,$X$3:$AQ$3,0))
)</f>
        <v>2.1718983162038043E-4</v>
      </c>
      <c r="AH36" s="21">
        <f ca="1">_xlfn.COVARIANCE.S(
  INDEX($X$4:$AQ$21,,MATCH($W36,$X$3:$AQ$3,0)),
  INDEX($X$4:$AQ$21,,MATCH(BD$3,$X$3:$AQ$3,0))
)</f>
        <v>1.7583664128926075E-4</v>
      </c>
      <c r="AI36" s="21">
        <f ca="1">_xlfn.COVARIANCE.S(
  INDEX($X$4:$AQ$21,,MATCH($W36,$X$3:$AQ$3,0)),
  INDEX($X$4:$AQ$21,,MATCH(BE$3,$X$3:$AQ$3,0))
)</f>
        <v>-3.2421200494057954E-5</v>
      </c>
      <c r="AJ36" s="21">
        <f ca="1">_xlfn.COVARIANCE.S(
  INDEX($X$4:$AQ$21,,MATCH($W36,$X$3:$AQ$3,0)),
  INDEX($X$4:$AQ$21,,MATCH(BF$3,$X$3:$AQ$3,0))
)</f>
        <v>-2.4077032872535914E-5</v>
      </c>
      <c r="AK36" s="21">
        <f ca="1">_xlfn.COVARIANCE.S(
  INDEX($X$4:$AQ$21,,MATCH($W36,$X$3:$AQ$3,0)),
  INDEX($X$4:$AQ$21,,MATCH(BG$3,$X$3:$AQ$3,0))
)</f>
        <v>2.0330417691168597E-4</v>
      </c>
      <c r="AL36" s="21">
        <f ca="1">_xlfn.COVARIANCE.S(
  INDEX($X$4:$AQ$21,,MATCH($W36,$X$3:$AQ$3,0)),
  INDEX($X$4:$AQ$21,,MATCH(BH$3,$X$3:$AQ$3,0))
)</f>
        <v>3.5854962231537767E-4</v>
      </c>
      <c r="AM36" s="21">
        <f ca="1">_xlfn.COVARIANCE.S(
  INDEX($X$4:$AQ$21,,MATCH($W36,$X$3:$AQ$3,0)),
  INDEX($X$4:$AQ$21,,MATCH(BI$3,$X$3:$AQ$3,0))
)</f>
        <v>8.5630520519820787E-5</v>
      </c>
      <c r="AN36" s="21">
        <f ca="1">_xlfn.COVARIANCE.S(
  INDEX($X$4:$AQ$21,,MATCH($W36,$X$3:$AQ$3,0)),
  INDEX($X$4:$AQ$21,,MATCH(BJ$3,$X$3:$AQ$3,0))
)</f>
        <v>5.6468535010971461E-5</v>
      </c>
      <c r="AO36" s="21">
        <f ca="1">_xlfn.COVARIANCE.S(
  INDEX($X$4:$AQ$21,,MATCH($W36,$X$3:$AQ$3,0)),
  INDEX($X$4:$AQ$21,,MATCH(BK$3,$X$3:$AQ$3,0))
)</f>
        <v>1.61305347695891E-4</v>
      </c>
      <c r="AP36" s="21">
        <f ca="1">_xlfn.COVARIANCE.S(
  INDEX($X$4:$AQ$21,,MATCH($W36,$X$3:$AQ$3,0)),
  INDEX($X$4:$AQ$21,,MATCH(BL$3,$X$3:$AQ$3,0))
)</f>
        <v>-2.5196575339559381E-5</v>
      </c>
      <c r="AQ36" s="22">
        <f ca="1">_xlfn.COVARIANCE.S(
  INDEX($X$4:$AQ$21,,MATCH($W36,$X$3:$AQ$3,0)),
  INDEX($X$4:$AQ$21,,MATCH(BM$3,$X$3:$AQ$3,0))
)</f>
        <v>1.518546449212102E-4</v>
      </c>
    </row>
    <row r="37" spans="23:43" hidden="1" x14ac:dyDescent="0.3">
      <c r="W37" s="31" t="s">
        <v>18</v>
      </c>
      <c r="X37" s="21">
        <f ca="1">_xlfn.COVARIANCE.S(
  INDEX($X$4:$AQ$21,,MATCH($W37,$X$3:$AQ$3,0)),
  INDEX($X$4:$AQ$21,,MATCH(AT$3,$X$3:$AQ$3,0))
)</f>
        <v>6.6711574064297162E-5</v>
      </c>
      <c r="Y37" s="21">
        <f ca="1">_xlfn.COVARIANCE.S(
  INDEX($X$4:$AQ$21,,MATCH($W37,$X$3:$AQ$3,0)),
  INDEX($X$4:$AQ$21,,MATCH(AU$3,$X$3:$AQ$3,0))
)</f>
        <v>2.911390868978903E-6</v>
      </c>
      <c r="Z37" s="21">
        <f ca="1">_xlfn.COVARIANCE.S(
  INDEX($X$4:$AQ$21,,MATCH($W37,$X$3:$AQ$3,0)),
  INDEX($X$4:$AQ$21,,MATCH(AV$3,$X$3:$AQ$3,0))
)</f>
        <v>6.0635175362520035E-5</v>
      </c>
      <c r="AA37" s="21">
        <f ca="1">_xlfn.COVARIANCE.S(
  INDEX($X$4:$AQ$21,,MATCH($W37,$X$3:$AQ$3,0)),
  INDEX($X$4:$AQ$21,,MATCH(AW$3,$X$3:$AQ$3,0))
)</f>
        <v>6.2323725907940928E-5</v>
      </c>
      <c r="AB37" s="21">
        <f ca="1">_xlfn.COVARIANCE.S(
  INDEX($X$4:$AQ$21,,MATCH($W37,$X$3:$AQ$3,0)),
  INDEX($X$4:$AQ$21,,MATCH(AX$3,$X$3:$AQ$3,0))
)</f>
        <v>3.6004550623902271E-5</v>
      </c>
      <c r="AC37" s="21">
        <f ca="1">_xlfn.COVARIANCE.S(
  INDEX($X$4:$AQ$21,,MATCH($W37,$X$3:$AQ$3,0)),
  INDEX($X$4:$AQ$21,,MATCH(AY$3,$X$3:$AQ$3,0))
)</f>
        <v>3.760242105402026E-5</v>
      </c>
      <c r="AD37" s="21">
        <f ca="1">_xlfn.COVARIANCE.S(
  INDEX($X$4:$AQ$21,,MATCH($W37,$X$3:$AQ$3,0)),
  INDEX($X$4:$AQ$21,,MATCH(AZ$3,$X$3:$AQ$3,0))
)</f>
        <v>1.2267959219391781E-4</v>
      </c>
      <c r="AE37" s="21">
        <f ca="1">_xlfn.COVARIANCE.S(
  INDEX($X$4:$AQ$21,,MATCH($W37,$X$3:$AQ$3,0)),
  INDEX($X$4:$AQ$21,,MATCH(BA$3,$X$3:$AQ$3,0))
)</f>
        <v>6.9484295019166568E-5</v>
      </c>
      <c r="AF37" s="21">
        <f ca="1">_xlfn.COVARIANCE.S(
  INDEX($X$4:$AQ$21,,MATCH($W37,$X$3:$AQ$3,0)),
  INDEX($X$4:$AQ$21,,MATCH(BB$3,$X$3:$AQ$3,0))
)</f>
        <v>1.343290191946992E-4</v>
      </c>
      <c r="AG37" s="21">
        <f ca="1">_xlfn.COVARIANCE.S(
  INDEX($X$4:$AQ$21,,MATCH($W37,$X$3:$AQ$3,0)),
  INDEX($X$4:$AQ$21,,MATCH(BC$3,$X$3:$AQ$3,0))
)</f>
        <v>1.5611575948961737E-4</v>
      </c>
      <c r="AH37" s="21">
        <f ca="1">_xlfn.COVARIANCE.S(
  INDEX($X$4:$AQ$21,,MATCH($W37,$X$3:$AQ$3,0)),
  INDEX($X$4:$AQ$21,,MATCH(BD$3,$X$3:$AQ$3,0))
)</f>
        <v>1.232401536544556E-5</v>
      </c>
      <c r="AI37" s="21">
        <f ca="1">_xlfn.COVARIANCE.S(
  INDEX($X$4:$AQ$21,,MATCH($W37,$X$3:$AQ$3,0)),
  INDEX($X$4:$AQ$21,,MATCH(BE$3,$X$3:$AQ$3,0))
)</f>
        <v>3.8462590955717553E-5</v>
      </c>
      <c r="AJ37" s="21">
        <f ca="1">_xlfn.COVARIANCE.S(
  INDEX($X$4:$AQ$21,,MATCH($W37,$X$3:$AQ$3,0)),
  INDEX($X$4:$AQ$21,,MATCH(BF$3,$X$3:$AQ$3,0))
)</f>
        <v>9.040640316741344E-6</v>
      </c>
      <c r="AK37" s="21">
        <f ca="1">_xlfn.COVARIANCE.S(
  INDEX($X$4:$AQ$21,,MATCH($W37,$X$3:$AQ$3,0)),
  INDEX($X$4:$AQ$21,,MATCH(BG$3,$X$3:$AQ$3,0))
)</f>
        <v>2.588664581579317E-5</v>
      </c>
      <c r="AL37" s="21">
        <f ca="1">_xlfn.COVARIANCE.S(
  INDEX($X$4:$AQ$21,,MATCH($W37,$X$3:$AQ$3,0)),
  INDEX($X$4:$AQ$21,,MATCH(BH$3,$X$3:$AQ$3,0))
)</f>
        <v>3.4630098463499322E-5</v>
      </c>
      <c r="AM37" s="21">
        <f ca="1">_xlfn.COVARIANCE.S(
  INDEX($X$4:$AQ$21,,MATCH($W37,$X$3:$AQ$3,0)),
  INDEX($X$4:$AQ$21,,MATCH(BI$3,$X$3:$AQ$3,0))
)</f>
        <v>1.4703907455226183E-5</v>
      </c>
      <c r="AN37" s="21">
        <f ca="1">_xlfn.COVARIANCE.S(
  INDEX($X$4:$AQ$21,,MATCH($W37,$X$3:$AQ$3,0)),
  INDEX($X$4:$AQ$21,,MATCH(BJ$3,$X$3:$AQ$3,0))
)</f>
        <v>2.9827991569557807E-5</v>
      </c>
      <c r="AO37" s="21">
        <f ca="1">_xlfn.COVARIANCE.S(
  INDEX($X$4:$AQ$21,,MATCH($W37,$X$3:$AQ$3,0)),
  INDEX($X$4:$AQ$21,,MATCH(BK$3,$X$3:$AQ$3,0))
)</f>
        <v>2.028494730581689E-4</v>
      </c>
      <c r="AP37" s="21">
        <f ca="1">_xlfn.COVARIANCE.S(
  INDEX($X$4:$AQ$21,,MATCH($W37,$X$3:$AQ$3,0)),
  INDEX($X$4:$AQ$21,,MATCH(BL$3,$X$3:$AQ$3,0))
)</f>
        <v>7.5690202251830398E-5</v>
      </c>
      <c r="AQ37" s="22">
        <f ca="1">_xlfn.COVARIANCE.S(
  INDEX($X$4:$AQ$21,,MATCH($W37,$X$3:$AQ$3,0)),
  INDEX($X$4:$AQ$21,,MATCH(BM$3,$X$3:$AQ$3,0))
)</f>
        <v>3.0258152292426273E-5</v>
      </c>
    </row>
    <row r="38" spans="23:43" hidden="1" x14ac:dyDescent="0.3">
      <c r="W38" s="31" t="s">
        <v>7</v>
      </c>
      <c r="X38" s="21">
        <f ca="1">_xlfn.COVARIANCE.S(
  INDEX($X$4:$AQ$21,,MATCH($W38,$X$3:$AQ$3,0)),
  INDEX($X$4:$AQ$21,,MATCH(AT$3,$X$3:$AQ$3,0))
)</f>
        <v>5.0753807628476776E-4</v>
      </c>
      <c r="Y38" s="21">
        <f ca="1">_xlfn.COVARIANCE.S(
  INDEX($X$4:$AQ$21,,MATCH($W38,$X$3:$AQ$3,0)),
  INDEX($X$4:$AQ$21,,MATCH(AU$3,$X$3:$AQ$3,0))
)</f>
        <v>8.0168950097765716E-5</v>
      </c>
      <c r="Z38" s="21">
        <f ca="1">_xlfn.COVARIANCE.S(
  INDEX($X$4:$AQ$21,,MATCH($W38,$X$3:$AQ$3,0)),
  INDEX($X$4:$AQ$21,,MATCH(AV$3,$X$3:$AQ$3,0))
)</f>
        <v>1.0897112843401517E-4</v>
      </c>
      <c r="AA38" s="21">
        <f ca="1">_xlfn.COVARIANCE.S(
  INDEX($X$4:$AQ$21,,MATCH($W38,$X$3:$AQ$3,0)),
  INDEX($X$4:$AQ$21,,MATCH(AW$3,$X$3:$AQ$3,0))
)</f>
        <v>2.4608382423272631E-4</v>
      </c>
      <c r="AB38" s="21">
        <f ca="1">_xlfn.COVARIANCE.S(
  INDEX($X$4:$AQ$21,,MATCH($W38,$X$3:$AQ$3,0)),
  INDEX($X$4:$AQ$21,,MATCH(AX$3,$X$3:$AQ$3,0))
)</f>
        <v>2.3118917201690414E-4</v>
      </c>
      <c r="AC38" s="21">
        <f ca="1">_xlfn.COVARIANCE.S(
  INDEX($X$4:$AQ$21,,MATCH($W38,$X$3:$AQ$3,0)),
  INDEX($X$4:$AQ$21,,MATCH(AY$3,$X$3:$AQ$3,0))
)</f>
        <v>2.2864992161636508E-4</v>
      </c>
      <c r="AD38" s="21">
        <f ca="1">_xlfn.COVARIANCE.S(
  INDEX($X$4:$AQ$21,,MATCH($W38,$X$3:$AQ$3,0)),
  INDEX($X$4:$AQ$21,,MATCH(AZ$3,$X$3:$AQ$3,0))
)</f>
        <v>6.9484295019166568E-5</v>
      </c>
      <c r="AE38" s="21">
        <f ca="1">_xlfn.COVARIANCE.S(
  INDEX($X$4:$AQ$21,,MATCH($W38,$X$3:$AQ$3,0)),
  INDEX($X$4:$AQ$21,,MATCH(BA$3,$X$3:$AQ$3,0))
)</f>
        <v>1.3373211332551687E-3</v>
      </c>
      <c r="AF38" s="21">
        <f ca="1">_xlfn.COVARIANCE.S(
  INDEX($X$4:$AQ$21,,MATCH($W38,$X$3:$AQ$3,0)),
  INDEX($X$4:$AQ$21,,MATCH(BB$3,$X$3:$AQ$3,0))
)</f>
        <v>-1.9414777205365919E-4</v>
      </c>
      <c r="AG38" s="21">
        <f ca="1">_xlfn.COVARIANCE.S(
  INDEX($X$4:$AQ$21,,MATCH($W38,$X$3:$AQ$3,0)),
  INDEX($X$4:$AQ$21,,MATCH(BC$3,$X$3:$AQ$3,0))
)</f>
        <v>4.268328809691997E-4</v>
      </c>
      <c r="AH38" s="21">
        <f ca="1">_xlfn.COVARIANCE.S(
  INDEX($X$4:$AQ$21,,MATCH($W38,$X$3:$AQ$3,0)),
  INDEX($X$4:$AQ$21,,MATCH(BD$3,$X$3:$AQ$3,0))
)</f>
        <v>5.3701775875344992E-4</v>
      </c>
      <c r="AI38" s="21">
        <f ca="1">_xlfn.COVARIANCE.S(
  INDEX($X$4:$AQ$21,,MATCH($W38,$X$3:$AQ$3,0)),
  INDEX($X$4:$AQ$21,,MATCH(BE$3,$X$3:$AQ$3,0))
)</f>
        <v>-1.8439778633955208E-4</v>
      </c>
      <c r="AJ38" s="21">
        <f ca="1">_xlfn.COVARIANCE.S(
  INDEX($X$4:$AQ$21,,MATCH($W38,$X$3:$AQ$3,0)),
  INDEX($X$4:$AQ$21,,MATCH(BF$3,$X$3:$AQ$3,0))
)</f>
        <v>3.4330355355069513E-5</v>
      </c>
      <c r="AK38" s="21">
        <f ca="1">_xlfn.COVARIANCE.S(
  INDEX($X$4:$AQ$21,,MATCH($W38,$X$3:$AQ$3,0)),
  INDEX($X$4:$AQ$21,,MATCH(BG$3,$X$3:$AQ$3,0))
)</f>
        <v>7.1946309803129504E-4</v>
      </c>
      <c r="AL38" s="21">
        <f ca="1">_xlfn.COVARIANCE.S(
  INDEX($X$4:$AQ$21,,MATCH($W38,$X$3:$AQ$3,0)),
  INDEX($X$4:$AQ$21,,MATCH(BH$3,$X$3:$AQ$3,0))
)</f>
        <v>1.1003508976763655E-3</v>
      </c>
      <c r="AM38" s="21">
        <f ca="1">_xlfn.COVARIANCE.S(
  INDEX($X$4:$AQ$21,,MATCH($W38,$X$3:$AQ$3,0)),
  INDEX($X$4:$AQ$21,,MATCH(BI$3,$X$3:$AQ$3,0))
)</f>
        <v>2.4506529163131397E-4</v>
      </c>
      <c r="AN38" s="21">
        <f ca="1">_xlfn.COVARIANCE.S(
  INDEX($X$4:$AQ$21,,MATCH($W38,$X$3:$AQ$3,0)),
  INDEX($X$4:$AQ$21,,MATCH(BJ$3,$X$3:$AQ$3,0))
)</f>
        <v>9.6231302857681337E-5</v>
      </c>
      <c r="AO38" s="21">
        <f ca="1">_xlfn.COVARIANCE.S(
  INDEX($X$4:$AQ$21,,MATCH($W38,$X$3:$AQ$3,0)),
  INDEX($X$4:$AQ$21,,MATCH(BK$3,$X$3:$AQ$3,0))
)</f>
        <v>5.8073911945356914E-4</v>
      </c>
      <c r="AP38" s="21">
        <f ca="1">_xlfn.COVARIANCE.S(
  INDEX($X$4:$AQ$21,,MATCH($W38,$X$3:$AQ$3,0)),
  INDEX($X$4:$AQ$21,,MATCH(BL$3,$X$3:$AQ$3,0))
)</f>
        <v>-1.4731597737515923E-4</v>
      </c>
      <c r="AQ38" s="22">
        <f ca="1">_xlfn.COVARIANCE.S(
  INDEX($X$4:$AQ$21,,MATCH($W38,$X$3:$AQ$3,0)),
  INDEX($X$4:$AQ$21,,MATCH(BM$3,$X$3:$AQ$3,0))
)</f>
        <v>2.4912684332649724E-4</v>
      </c>
    </row>
    <row r="39" spans="23:43" hidden="1" x14ac:dyDescent="0.3">
      <c r="W39" s="31" t="s">
        <v>21</v>
      </c>
      <c r="X39" s="21">
        <f ca="1">_xlfn.COVARIANCE.S(
  INDEX($X$4:$AQ$21,,MATCH($W39,$X$3:$AQ$3,0)),
  INDEX($X$4:$AQ$21,,MATCH(AT$3,$X$3:$AQ$3,0))
)</f>
        <v>8.3445299702362169E-5</v>
      </c>
      <c r="Y39" s="21">
        <f ca="1">_xlfn.COVARIANCE.S(
  INDEX($X$4:$AQ$21,,MATCH($W39,$X$3:$AQ$3,0)),
  INDEX($X$4:$AQ$21,,MATCH(AU$3,$X$3:$AQ$3,0))
)</f>
        <v>7.7407794846170476E-6</v>
      </c>
      <c r="Z39" s="21">
        <f ca="1">_xlfn.COVARIANCE.S(
  INDEX($X$4:$AQ$21,,MATCH($W39,$X$3:$AQ$3,0)),
  INDEX($X$4:$AQ$21,,MATCH(AV$3,$X$3:$AQ$3,0))
)</f>
        <v>-1.7293559668036889E-5</v>
      </c>
      <c r="AA39" s="21">
        <f ca="1">_xlfn.COVARIANCE.S(
  INDEX($X$4:$AQ$21,,MATCH($W39,$X$3:$AQ$3,0)),
  INDEX($X$4:$AQ$21,,MATCH(AW$3,$X$3:$AQ$3,0))
)</f>
        <v>7.9356169346063489E-5</v>
      </c>
      <c r="AB39" s="21">
        <f ca="1">_xlfn.COVARIANCE.S(
  INDEX($X$4:$AQ$21,,MATCH($W39,$X$3:$AQ$3,0)),
  INDEX($X$4:$AQ$21,,MATCH(AX$3,$X$3:$AQ$3,0))
)</f>
        <v>1.6362236068454922E-4</v>
      </c>
      <c r="AC39" s="21">
        <f ca="1">_xlfn.COVARIANCE.S(
  INDEX($X$4:$AQ$21,,MATCH($W39,$X$3:$AQ$3,0)),
  INDEX($X$4:$AQ$21,,MATCH(AY$3,$X$3:$AQ$3,0))
)</f>
        <v>1.6785649362670735E-4</v>
      </c>
      <c r="AD39" s="21">
        <f ca="1">_xlfn.COVARIANCE.S(
  INDEX($X$4:$AQ$21,,MATCH($W39,$X$3:$AQ$3,0)),
  INDEX($X$4:$AQ$21,,MATCH(AZ$3,$X$3:$AQ$3,0))
)</f>
        <v>1.343290191946992E-4</v>
      </c>
      <c r="AE39" s="21">
        <f ca="1">_xlfn.COVARIANCE.S(
  INDEX($X$4:$AQ$21,,MATCH($W39,$X$3:$AQ$3,0)),
  INDEX($X$4:$AQ$21,,MATCH(BA$3,$X$3:$AQ$3,0))
)</f>
        <v>-1.9414777205365919E-4</v>
      </c>
      <c r="AF39" s="21">
        <f ca="1">_xlfn.COVARIANCE.S(
  INDEX($X$4:$AQ$21,,MATCH($W39,$X$3:$AQ$3,0)),
  INDEX($X$4:$AQ$21,,MATCH(BB$3,$X$3:$AQ$3,0))
)</f>
        <v>6.2287792678744473E-4</v>
      </c>
      <c r="AG39" s="21">
        <f ca="1">_xlfn.COVARIANCE.S(
  INDEX($X$4:$AQ$21,,MATCH($W39,$X$3:$AQ$3,0)),
  INDEX($X$4:$AQ$21,,MATCH(BC$3,$X$3:$AQ$3,0))
)</f>
        <v>4.6672034735551876E-4</v>
      </c>
      <c r="AH39" s="21">
        <f ca="1">_xlfn.COVARIANCE.S(
  INDEX($X$4:$AQ$21,,MATCH($W39,$X$3:$AQ$3,0)),
  INDEX($X$4:$AQ$21,,MATCH(BD$3,$X$3:$AQ$3,0))
)</f>
        <v>-3.0005794703648105E-5</v>
      </c>
      <c r="AI39" s="21">
        <f ca="1">_xlfn.COVARIANCE.S(
  INDEX($X$4:$AQ$21,,MATCH($W39,$X$3:$AQ$3,0)),
  INDEX($X$4:$AQ$21,,MATCH(BE$3,$X$3:$AQ$3,0))
)</f>
        <v>2.5151929350114741E-5</v>
      </c>
      <c r="AJ39" s="21">
        <f ca="1">_xlfn.COVARIANCE.S(
  INDEX($X$4:$AQ$21,,MATCH($W39,$X$3:$AQ$3,0)),
  INDEX($X$4:$AQ$21,,MATCH(BF$3,$X$3:$AQ$3,0))
)</f>
        <v>-6.3955887411535037E-5</v>
      </c>
      <c r="AK39" s="21">
        <f ca="1">_xlfn.COVARIANCE.S(
  INDEX($X$4:$AQ$21,,MATCH($W39,$X$3:$AQ$3,0)),
  INDEX($X$4:$AQ$21,,MATCH(BG$3,$X$3:$AQ$3,0))
)</f>
        <v>-1.5737999305223113E-5</v>
      </c>
      <c r="AL39" s="21">
        <f ca="1">_xlfn.COVARIANCE.S(
  INDEX($X$4:$AQ$21,,MATCH($W39,$X$3:$AQ$3,0)),
  INDEX($X$4:$AQ$21,,MATCH(BH$3,$X$3:$AQ$3,0))
)</f>
        <v>-5.4314497620576481E-5</v>
      </c>
      <c r="AM39" s="21">
        <f ca="1">_xlfn.COVARIANCE.S(
  INDEX($X$4:$AQ$21,,MATCH($W39,$X$3:$AQ$3,0)),
  INDEX($X$4:$AQ$21,,MATCH(BI$3,$X$3:$AQ$3,0))
)</f>
        <v>6.7564181610714374E-5</v>
      </c>
      <c r="AN39" s="21">
        <f ca="1">_xlfn.COVARIANCE.S(
  INDEX($X$4:$AQ$21,,MATCH($W39,$X$3:$AQ$3,0)),
  INDEX($X$4:$AQ$21,,MATCH(BJ$3,$X$3:$AQ$3,0))
)</f>
        <v>8.7320463814839492E-5</v>
      </c>
      <c r="AO39" s="21">
        <f ca="1">_xlfn.COVARIANCE.S(
  INDEX($X$4:$AQ$21,,MATCH($W39,$X$3:$AQ$3,0)),
  INDEX($X$4:$AQ$21,,MATCH(BK$3,$X$3:$AQ$3,0))
)</f>
        <v>3.3077433642337726E-4</v>
      </c>
      <c r="AP39" s="21">
        <f ca="1">_xlfn.COVARIANCE.S(
  INDEX($X$4:$AQ$21,,MATCH($W39,$X$3:$AQ$3,0)),
  INDEX($X$4:$AQ$21,,MATCH(BL$3,$X$3:$AQ$3,0))
)</f>
        <v>1.3494894430219322E-5</v>
      </c>
      <c r="AQ39" s="22">
        <f ca="1">_xlfn.COVARIANCE.S(
  INDEX($X$4:$AQ$21,,MATCH($W39,$X$3:$AQ$3,0)),
  INDEX($X$4:$AQ$21,,MATCH(BM$3,$X$3:$AQ$3,0))
)</f>
        <v>2.3939111427194736E-4</v>
      </c>
    </row>
    <row r="40" spans="23:43" hidden="1" x14ac:dyDescent="0.3">
      <c r="W40" s="31" t="s">
        <v>23</v>
      </c>
      <c r="X40" s="21">
        <f ca="1">_xlfn.COVARIANCE.S(
  INDEX($X$4:$AQ$21,,MATCH($W40,$X$3:$AQ$3,0)),
  INDEX($X$4:$AQ$21,,MATCH(AT$3,$X$3:$AQ$3,0))
)</f>
        <v>2.9467747183554478E-4</v>
      </c>
      <c r="Y40" s="21">
        <f ca="1">_xlfn.COVARIANCE.S(
  INDEX($X$4:$AQ$21,,MATCH($W40,$X$3:$AQ$3,0)),
  INDEX($X$4:$AQ$21,,MATCH(AU$3,$X$3:$AQ$3,0))
)</f>
        <v>7.4609059754505058E-5</v>
      </c>
      <c r="Z40" s="21">
        <f ca="1">_xlfn.COVARIANCE.S(
  INDEX($X$4:$AQ$21,,MATCH($W40,$X$3:$AQ$3,0)),
  INDEX($X$4:$AQ$21,,MATCH(AV$3,$X$3:$AQ$3,0))
)</f>
        <v>9.8092976889655698E-5</v>
      </c>
      <c r="AA40" s="21">
        <f ca="1">_xlfn.COVARIANCE.S(
  INDEX($X$4:$AQ$21,,MATCH($W40,$X$3:$AQ$3,0)),
  INDEX($X$4:$AQ$21,,MATCH(AW$3,$X$3:$AQ$3,0))
)</f>
        <v>2.2049697042343967E-4</v>
      </c>
      <c r="AB40" s="21">
        <f ca="1">_xlfn.COVARIANCE.S(
  INDEX($X$4:$AQ$21,,MATCH($W40,$X$3:$AQ$3,0)),
  INDEX($X$4:$AQ$21,,MATCH(AX$3,$X$3:$AQ$3,0))
)</f>
        <v>2.0840019270119032E-4</v>
      </c>
      <c r="AC40" s="21">
        <f ca="1">_xlfn.COVARIANCE.S(
  INDEX($X$4:$AQ$21,,MATCH($W40,$X$3:$AQ$3,0)),
  INDEX($X$4:$AQ$21,,MATCH(AY$3,$X$3:$AQ$3,0))
)</f>
        <v>2.1718983162038043E-4</v>
      </c>
      <c r="AD40" s="21">
        <f ca="1">_xlfn.COVARIANCE.S(
  INDEX($X$4:$AQ$21,,MATCH($W40,$X$3:$AQ$3,0)),
  INDEX($X$4:$AQ$21,,MATCH(AZ$3,$X$3:$AQ$3,0))
)</f>
        <v>1.5611575948961737E-4</v>
      </c>
      <c r="AE40" s="21">
        <f ca="1">_xlfn.COVARIANCE.S(
  INDEX($X$4:$AQ$21,,MATCH($W40,$X$3:$AQ$3,0)),
  INDEX($X$4:$AQ$21,,MATCH(BA$3,$X$3:$AQ$3,0))
)</f>
        <v>4.268328809691997E-4</v>
      </c>
      <c r="AF40" s="21">
        <f ca="1">_xlfn.COVARIANCE.S(
  INDEX($X$4:$AQ$21,,MATCH($W40,$X$3:$AQ$3,0)),
  INDEX($X$4:$AQ$21,,MATCH(BB$3,$X$3:$AQ$3,0))
)</f>
        <v>4.6672034735551876E-4</v>
      </c>
      <c r="AG40" s="21">
        <f ca="1">_xlfn.COVARIANCE.S(
  INDEX($X$4:$AQ$21,,MATCH($W40,$X$3:$AQ$3,0)),
  INDEX($X$4:$AQ$21,,MATCH(BC$3,$X$3:$AQ$3,0))
)</f>
        <v>8.3440187757307044E-4</v>
      </c>
      <c r="AH40" s="21">
        <f ca="1">_xlfn.COVARIANCE.S(
  INDEX($X$4:$AQ$21,,MATCH($W40,$X$3:$AQ$3,0)),
  INDEX($X$4:$AQ$21,,MATCH(BD$3,$X$3:$AQ$3,0))
)</f>
        <v>6.4045953771895217E-5</v>
      </c>
      <c r="AI40" s="21">
        <f ca="1">_xlfn.COVARIANCE.S(
  INDEX($X$4:$AQ$21,,MATCH($W40,$X$3:$AQ$3,0)),
  INDEX($X$4:$AQ$21,,MATCH(BE$3,$X$3:$AQ$3,0))
)</f>
        <v>-3.3826624091983487E-5</v>
      </c>
      <c r="AJ40" s="21">
        <f ca="1">_xlfn.COVARIANCE.S(
  INDEX($X$4:$AQ$21,,MATCH($W40,$X$3:$AQ$3,0)),
  INDEX($X$4:$AQ$21,,MATCH(BF$3,$X$3:$AQ$3,0))
)</f>
        <v>-2.8174023297731303E-5</v>
      </c>
      <c r="AK40" s="21">
        <f ca="1">_xlfn.COVARIANCE.S(
  INDEX($X$4:$AQ$21,,MATCH($W40,$X$3:$AQ$3,0)),
  INDEX($X$4:$AQ$21,,MATCH(BG$3,$X$3:$AQ$3,0))
)</f>
        <v>3.0537095181650486E-4</v>
      </c>
      <c r="AL40" s="21">
        <f ca="1">_xlfn.COVARIANCE.S(
  INDEX($X$4:$AQ$21,,MATCH($W40,$X$3:$AQ$3,0)),
  INDEX($X$4:$AQ$21,,MATCH(BH$3,$X$3:$AQ$3,0))
)</f>
        <v>4.1382594186152138E-4</v>
      </c>
      <c r="AM40" s="21">
        <f ca="1">_xlfn.COVARIANCE.S(
  INDEX($X$4:$AQ$21,,MATCH($W40,$X$3:$AQ$3,0)),
  INDEX($X$4:$AQ$21,,MATCH(BI$3,$X$3:$AQ$3,0))
)</f>
        <v>2.2677946556570755E-4</v>
      </c>
      <c r="AN40" s="21">
        <f ca="1">_xlfn.COVARIANCE.S(
  INDEX($X$4:$AQ$21,,MATCH($W40,$X$3:$AQ$3,0)),
  INDEX($X$4:$AQ$21,,MATCH(BJ$3,$X$3:$AQ$3,0))
)</f>
        <v>1.5573622709028146E-4</v>
      </c>
      <c r="AO40" s="21">
        <f ca="1">_xlfn.COVARIANCE.S(
  INDEX($X$4:$AQ$21,,MATCH($W40,$X$3:$AQ$3,0)),
  INDEX($X$4:$AQ$21,,MATCH(BK$3,$X$3:$AQ$3,0))
)</f>
        <v>7.3924686031620482E-4</v>
      </c>
      <c r="AP40" s="21">
        <f ca="1">_xlfn.COVARIANCE.S(
  INDEX($X$4:$AQ$21,,MATCH($W40,$X$3:$AQ$3,0)),
  INDEX($X$4:$AQ$21,,MATCH(BL$3,$X$3:$AQ$3,0))
)</f>
        <v>-8.4973358145162359E-5</v>
      </c>
      <c r="AQ40" s="22">
        <f ca="1">_xlfn.COVARIANCE.S(
  INDEX($X$4:$AQ$21,,MATCH($W40,$X$3:$AQ$3,0)),
  INDEX($X$4:$AQ$21,,MATCH(BM$3,$X$3:$AQ$3,0))
)</f>
        <v>4.2320488732159228E-4</v>
      </c>
    </row>
    <row r="41" spans="23:43" hidden="1" x14ac:dyDescent="0.3">
      <c r="W41" s="31" t="s">
        <v>25</v>
      </c>
      <c r="X41" s="21">
        <f ca="1">_xlfn.COVARIANCE.S(
  INDEX($X$4:$AQ$21,,MATCH($W41,$X$3:$AQ$3,0)),
  INDEX($X$4:$AQ$21,,MATCH(AT$3,$X$3:$AQ$3,0))
)</f>
        <v>3.5544937996588778E-4</v>
      </c>
      <c r="Y41" s="21">
        <f ca="1">_xlfn.COVARIANCE.S(
  INDEX($X$4:$AQ$21,,MATCH($W41,$X$3:$AQ$3,0)),
  INDEX($X$4:$AQ$21,,MATCH(AU$3,$X$3:$AQ$3,0))
)</f>
        <v>2.3137228784940881E-5</v>
      </c>
      <c r="Z41" s="21">
        <f ca="1">_xlfn.COVARIANCE.S(
  INDEX($X$4:$AQ$21,,MATCH($W41,$X$3:$AQ$3,0)),
  INDEX($X$4:$AQ$21,,MATCH(AV$3,$X$3:$AQ$3,0))
)</f>
        <v>-5.2925521585932613E-5</v>
      </c>
      <c r="AA41" s="21">
        <f ca="1">_xlfn.COVARIANCE.S(
  INDEX($X$4:$AQ$21,,MATCH($W41,$X$3:$AQ$3,0)),
  INDEX($X$4:$AQ$21,,MATCH(AW$3,$X$3:$AQ$3,0))
)</f>
        <v>-6.254854224177389E-6</v>
      </c>
      <c r="AB41" s="21">
        <f ca="1">_xlfn.COVARIANCE.S(
  INDEX($X$4:$AQ$21,,MATCH($W41,$X$3:$AQ$3,0)),
  INDEX($X$4:$AQ$21,,MATCH(AX$3,$X$3:$AQ$3,0))
)</f>
        <v>1.8715393815527299E-4</v>
      </c>
      <c r="AC41" s="21">
        <f ca="1">_xlfn.COVARIANCE.S(
  INDEX($X$4:$AQ$21,,MATCH($W41,$X$3:$AQ$3,0)),
  INDEX($X$4:$AQ$21,,MATCH(AY$3,$X$3:$AQ$3,0))
)</f>
        <v>1.7583664128926075E-4</v>
      </c>
      <c r="AD41" s="21">
        <f ca="1">_xlfn.COVARIANCE.S(
  INDEX($X$4:$AQ$21,,MATCH($W41,$X$3:$AQ$3,0)),
  INDEX($X$4:$AQ$21,,MATCH(AZ$3,$X$3:$AQ$3,0))
)</f>
        <v>1.232401536544556E-5</v>
      </c>
      <c r="AE41" s="21">
        <f ca="1">_xlfn.COVARIANCE.S(
  INDEX($X$4:$AQ$21,,MATCH($W41,$X$3:$AQ$3,0)),
  INDEX($X$4:$AQ$21,,MATCH(BA$3,$X$3:$AQ$3,0))
)</f>
        <v>5.3701775875344992E-4</v>
      </c>
      <c r="AF41" s="21">
        <f ca="1">_xlfn.COVARIANCE.S(
  INDEX($X$4:$AQ$21,,MATCH($W41,$X$3:$AQ$3,0)),
  INDEX($X$4:$AQ$21,,MATCH(BB$3,$X$3:$AQ$3,0))
)</f>
        <v>-3.0005794703648105E-5</v>
      </c>
      <c r="AG41" s="21">
        <f ca="1">_xlfn.COVARIANCE.S(
  INDEX($X$4:$AQ$21,,MATCH($W41,$X$3:$AQ$3,0)),
  INDEX($X$4:$AQ$21,,MATCH(BC$3,$X$3:$AQ$3,0))
)</f>
        <v>6.4045953771895217E-5</v>
      </c>
      <c r="AH41" s="21">
        <f ca="1">_xlfn.COVARIANCE.S(
  INDEX($X$4:$AQ$21,,MATCH($W41,$X$3:$AQ$3,0)),
  INDEX($X$4:$AQ$21,,MATCH(BD$3,$X$3:$AQ$3,0))
)</f>
        <v>7.7931510470247167E-4</v>
      </c>
      <c r="AI41" s="21">
        <f ca="1">_xlfn.COVARIANCE.S(
  INDEX($X$4:$AQ$21,,MATCH($W41,$X$3:$AQ$3,0)),
  INDEX($X$4:$AQ$21,,MATCH(BE$3,$X$3:$AQ$3,0))
)</f>
        <v>-2.2910570671633875E-4</v>
      </c>
      <c r="AJ41" s="21">
        <f ca="1">_xlfn.COVARIANCE.S(
  INDEX($X$4:$AQ$21,,MATCH($W41,$X$3:$AQ$3,0)),
  INDEX($X$4:$AQ$21,,MATCH(BF$3,$X$3:$AQ$3,0))
)</f>
        <v>-7.1140914978722684E-5</v>
      </c>
      <c r="AK41" s="21">
        <f ca="1">_xlfn.COVARIANCE.S(
  INDEX($X$4:$AQ$21,,MATCH($W41,$X$3:$AQ$3,0)),
  INDEX($X$4:$AQ$21,,MATCH(BG$3,$X$3:$AQ$3,0))
)</f>
        <v>5.8852044246028102E-4</v>
      </c>
      <c r="AL41" s="21">
        <f ca="1">_xlfn.COVARIANCE.S(
  INDEX($X$4:$AQ$21,,MATCH($W41,$X$3:$AQ$3,0)),
  INDEX($X$4:$AQ$21,,MATCH(BH$3,$X$3:$AQ$3,0))
)</f>
        <v>9.4405039101217239E-4</v>
      </c>
      <c r="AM41" s="21">
        <f ca="1">_xlfn.COVARIANCE.S(
  INDEX($X$4:$AQ$21,,MATCH($W41,$X$3:$AQ$3,0)),
  INDEX($X$4:$AQ$21,,MATCH(BI$3,$X$3:$AQ$3,0))
)</f>
        <v>1.063262610151962E-4</v>
      </c>
      <c r="AN41" s="21">
        <f ca="1">_xlfn.COVARIANCE.S(
  INDEX($X$4:$AQ$21,,MATCH($W41,$X$3:$AQ$3,0)),
  INDEX($X$4:$AQ$21,,MATCH(BJ$3,$X$3:$AQ$3,0))
)</f>
        <v>1.0506347382877061E-4</v>
      </c>
      <c r="AO41" s="21">
        <f ca="1">_xlfn.COVARIANCE.S(
  INDEX($X$4:$AQ$21,,MATCH($W41,$X$3:$AQ$3,0)),
  INDEX($X$4:$AQ$21,,MATCH(BK$3,$X$3:$AQ$3,0))
)</f>
        <v>-7.5982509435481462E-5</v>
      </c>
      <c r="AP41" s="21">
        <f ca="1">_xlfn.COVARIANCE.S(
  INDEX($X$4:$AQ$21,,MATCH($W41,$X$3:$AQ$3,0)),
  INDEX($X$4:$AQ$21,,MATCH(BL$3,$X$3:$AQ$3,0))
)</f>
        <v>-1.4376319905387019E-4</v>
      </c>
      <c r="AQ41" s="22">
        <f ca="1">_xlfn.COVARIANCE.S(
  INDEX($X$4:$AQ$21,,MATCH($W41,$X$3:$AQ$3,0)),
  INDEX($X$4:$AQ$21,,MATCH(BM$3,$X$3:$AQ$3,0))
)</f>
        <v>-4.4815235296604917E-5</v>
      </c>
    </row>
    <row r="42" spans="23:43" hidden="1" x14ac:dyDescent="0.3">
      <c r="W42" s="31" t="s">
        <v>27</v>
      </c>
      <c r="X42" s="21">
        <f ca="1">_xlfn.COVARIANCE.S(
  INDEX($X$4:$AQ$21,,MATCH($W42,$X$3:$AQ$3,0)),
  INDEX($X$4:$AQ$21,,MATCH(AT$3,$X$3:$AQ$3,0))
)</f>
        <v>-7.1193651443574222E-5</v>
      </c>
      <c r="Y42" s="21">
        <f ca="1">_xlfn.COVARIANCE.S(
  INDEX($X$4:$AQ$21,,MATCH($W42,$X$3:$AQ$3,0)),
  INDEX($X$4:$AQ$21,,MATCH(AU$3,$X$3:$AQ$3,0))
)</f>
        <v>8.9662135699900538E-6</v>
      </c>
      <c r="Z42" s="21">
        <f ca="1">_xlfn.COVARIANCE.S(
  INDEX($X$4:$AQ$21,,MATCH($W42,$X$3:$AQ$3,0)),
  INDEX($X$4:$AQ$21,,MATCH(AV$3,$X$3:$AQ$3,0))
)</f>
        <v>7.3645943241888747E-5</v>
      </c>
      <c r="AA42" s="21">
        <f ca="1">_xlfn.COVARIANCE.S(
  INDEX($X$4:$AQ$21,,MATCH($W42,$X$3:$AQ$3,0)),
  INDEX($X$4:$AQ$21,,MATCH(AW$3,$X$3:$AQ$3,0))
)</f>
        <v>-4.9686666172312602E-6</v>
      </c>
      <c r="AB42" s="21">
        <f ca="1">_xlfn.COVARIANCE.S(
  INDEX($X$4:$AQ$21,,MATCH($W42,$X$3:$AQ$3,0)),
  INDEX($X$4:$AQ$21,,MATCH(AX$3,$X$3:$AQ$3,0))
)</f>
        <v>-3.7067205008564875E-5</v>
      </c>
      <c r="AC42" s="21">
        <f ca="1">_xlfn.COVARIANCE.S(
  INDEX($X$4:$AQ$21,,MATCH($W42,$X$3:$AQ$3,0)),
  INDEX($X$4:$AQ$21,,MATCH(AY$3,$X$3:$AQ$3,0))
)</f>
        <v>-3.2421200494057954E-5</v>
      </c>
      <c r="AD42" s="21">
        <f ca="1">_xlfn.COVARIANCE.S(
  INDEX($X$4:$AQ$21,,MATCH($W42,$X$3:$AQ$3,0)),
  INDEX($X$4:$AQ$21,,MATCH(AZ$3,$X$3:$AQ$3,0))
)</f>
        <v>3.8462590955717553E-5</v>
      </c>
      <c r="AE42" s="21">
        <f ca="1">_xlfn.COVARIANCE.S(
  INDEX($X$4:$AQ$21,,MATCH($W42,$X$3:$AQ$3,0)),
  INDEX($X$4:$AQ$21,,MATCH(BA$3,$X$3:$AQ$3,0))
)</f>
        <v>-1.8439778633955208E-4</v>
      </c>
      <c r="AF42" s="21">
        <f ca="1">_xlfn.COVARIANCE.S(
  INDEX($X$4:$AQ$21,,MATCH($W42,$X$3:$AQ$3,0)),
  INDEX($X$4:$AQ$21,,MATCH(BB$3,$X$3:$AQ$3,0))
)</f>
        <v>2.5151929350114741E-5</v>
      </c>
      <c r="AG42" s="21">
        <f ca="1">_xlfn.COVARIANCE.S(
  INDEX($X$4:$AQ$21,,MATCH($W42,$X$3:$AQ$3,0)),
  INDEX($X$4:$AQ$21,,MATCH(BC$3,$X$3:$AQ$3,0))
)</f>
        <v>-3.3826624091983487E-5</v>
      </c>
      <c r="AH42" s="21">
        <f ca="1">_xlfn.COVARIANCE.S(
  INDEX($X$4:$AQ$21,,MATCH($W42,$X$3:$AQ$3,0)),
  INDEX($X$4:$AQ$21,,MATCH(BD$3,$X$3:$AQ$3,0))
)</f>
        <v>-2.2910570671633875E-4</v>
      </c>
      <c r="AI42" s="21">
        <f ca="1">_xlfn.COVARIANCE.S(
  INDEX($X$4:$AQ$21,,MATCH($W42,$X$3:$AQ$3,0)),
  INDEX($X$4:$AQ$21,,MATCH(BE$3,$X$3:$AQ$3,0))
)</f>
        <v>2.5898059502233199E-4</v>
      </c>
      <c r="AJ42" s="21">
        <f ca="1">_xlfn.COVARIANCE.S(
  INDEX($X$4:$AQ$21,,MATCH($W42,$X$3:$AQ$3,0)),
  INDEX($X$4:$AQ$21,,MATCH(BF$3,$X$3:$AQ$3,0))
)</f>
        <v>1.046699853635333E-4</v>
      </c>
      <c r="AK42" s="21">
        <f ca="1">_xlfn.COVARIANCE.S(
  INDEX($X$4:$AQ$21,,MATCH($W42,$X$3:$AQ$3,0)),
  INDEX($X$4:$AQ$21,,MATCH(BG$3,$X$3:$AQ$3,0))
)</f>
        <v>-1.1648259709195777E-4</v>
      </c>
      <c r="AL42" s="21">
        <f ca="1">_xlfn.COVARIANCE.S(
  INDEX($X$4:$AQ$21,,MATCH($W42,$X$3:$AQ$3,0)),
  INDEX($X$4:$AQ$21,,MATCH(BH$3,$X$3:$AQ$3,0))
)</f>
        <v>-4.1014082838736464E-4</v>
      </c>
      <c r="AM42" s="21">
        <f ca="1">_xlfn.COVARIANCE.S(
  INDEX($X$4:$AQ$21,,MATCH($W42,$X$3:$AQ$3,0)),
  INDEX($X$4:$AQ$21,,MATCH(BI$3,$X$3:$AQ$3,0))
)</f>
        <v>-6.3487292769919944E-5</v>
      </c>
      <c r="AN42" s="21">
        <f ca="1">_xlfn.COVARIANCE.S(
  INDEX($X$4:$AQ$21,,MATCH($W42,$X$3:$AQ$3,0)),
  INDEX($X$4:$AQ$21,,MATCH(BJ$3,$X$3:$AQ$3,0))
)</f>
        <v>-9.2931525488405565E-5</v>
      </c>
      <c r="AO42" s="21">
        <f ca="1">_xlfn.COVARIANCE.S(
  INDEX($X$4:$AQ$21,,MATCH($W42,$X$3:$AQ$3,0)),
  INDEX($X$4:$AQ$21,,MATCH(BK$3,$X$3:$AQ$3,0))
)</f>
        <v>1.2254616652362534E-4</v>
      </c>
      <c r="AP42" s="21">
        <f ca="1">_xlfn.COVARIANCE.S(
  INDEX($X$4:$AQ$21,,MATCH($W42,$X$3:$AQ$3,0)),
  INDEX($X$4:$AQ$21,,MATCH(BL$3,$X$3:$AQ$3,0))
)</f>
        <v>1.4489221361221221E-4</v>
      </c>
      <c r="AQ42" s="22">
        <f ca="1">_xlfn.COVARIANCE.S(
  INDEX($X$4:$AQ$21,,MATCH($W42,$X$3:$AQ$3,0)),
  INDEX($X$4:$AQ$21,,MATCH(BM$3,$X$3:$AQ$3,0))
)</f>
        <v>-4.7977386733193204E-5</v>
      </c>
    </row>
    <row r="43" spans="23:43" hidden="1" x14ac:dyDescent="0.3">
      <c r="W43" s="31" t="s">
        <v>29</v>
      </c>
      <c r="X43" s="21">
        <f ca="1">_xlfn.COVARIANCE.S(
  INDEX($X$4:$AQ$21,,MATCH($W43,$X$3:$AQ$3,0)),
  INDEX($X$4:$AQ$21,,MATCH(AT$3,$X$3:$AQ$3,0))
)</f>
        <v>-3.5923405348439948E-5</v>
      </c>
      <c r="Y43" s="21">
        <f ca="1">_xlfn.COVARIANCE.S(
  INDEX($X$4:$AQ$21,,MATCH($W43,$X$3:$AQ$3,0)),
  INDEX($X$4:$AQ$21,,MATCH(AU$3,$X$3:$AQ$3,0))
)</f>
        <v>2.5612688283164385E-5</v>
      </c>
      <c r="Z43" s="21">
        <f ca="1">_xlfn.COVARIANCE.S(
  INDEX($X$4:$AQ$21,,MATCH($W43,$X$3:$AQ$3,0)),
  INDEX($X$4:$AQ$21,,MATCH(AV$3,$X$3:$AQ$3,0))
)</f>
        <v>4.7332807364051435E-5</v>
      </c>
      <c r="AA43" s="21">
        <f ca="1">_xlfn.COVARIANCE.S(
  INDEX($X$4:$AQ$21,,MATCH($W43,$X$3:$AQ$3,0)),
  INDEX($X$4:$AQ$21,,MATCH(AW$3,$X$3:$AQ$3,0))
)</f>
        <v>1.7148753430442498E-5</v>
      </c>
      <c r="AB43" s="21">
        <f ca="1">_xlfn.COVARIANCE.S(
  INDEX($X$4:$AQ$21,,MATCH($W43,$X$3:$AQ$3,0)),
  INDEX($X$4:$AQ$21,,MATCH(AX$3,$X$3:$AQ$3,0))
)</f>
        <v>-2.7726560246193338E-5</v>
      </c>
      <c r="AC43" s="21">
        <f ca="1">_xlfn.COVARIANCE.S(
  INDEX($X$4:$AQ$21,,MATCH($W43,$X$3:$AQ$3,0)),
  INDEX($X$4:$AQ$21,,MATCH(AY$3,$X$3:$AQ$3,0))
)</f>
        <v>-2.4077032872535914E-5</v>
      </c>
      <c r="AD43" s="21">
        <f ca="1">_xlfn.COVARIANCE.S(
  INDEX($X$4:$AQ$21,,MATCH($W43,$X$3:$AQ$3,0)),
  INDEX($X$4:$AQ$21,,MATCH(AZ$3,$X$3:$AQ$3,0))
)</f>
        <v>9.040640316741344E-6</v>
      </c>
      <c r="AE43" s="21">
        <f ca="1">_xlfn.COVARIANCE.S(
  INDEX($X$4:$AQ$21,,MATCH($W43,$X$3:$AQ$3,0)),
  INDEX($X$4:$AQ$21,,MATCH(BA$3,$X$3:$AQ$3,0))
)</f>
        <v>3.4330355355069513E-5</v>
      </c>
      <c r="AF43" s="21">
        <f ca="1">_xlfn.COVARIANCE.S(
  INDEX($X$4:$AQ$21,,MATCH($W43,$X$3:$AQ$3,0)),
  INDEX($X$4:$AQ$21,,MATCH(BB$3,$X$3:$AQ$3,0))
)</f>
        <v>-6.3955887411535037E-5</v>
      </c>
      <c r="AG43" s="21">
        <f ca="1">_xlfn.COVARIANCE.S(
  INDEX($X$4:$AQ$21,,MATCH($W43,$X$3:$AQ$3,0)),
  INDEX($X$4:$AQ$21,,MATCH(BC$3,$X$3:$AQ$3,0))
)</f>
        <v>-2.8174023297731303E-5</v>
      </c>
      <c r="AH43" s="21">
        <f ca="1">_xlfn.COVARIANCE.S(
  INDEX($X$4:$AQ$21,,MATCH($W43,$X$3:$AQ$3,0)),
  INDEX($X$4:$AQ$21,,MATCH(BD$3,$X$3:$AQ$3,0))
)</f>
        <v>-7.1140914978722684E-5</v>
      </c>
      <c r="AI43" s="21">
        <f ca="1">_xlfn.COVARIANCE.S(
  INDEX($X$4:$AQ$21,,MATCH($W43,$X$3:$AQ$3,0)),
  INDEX($X$4:$AQ$21,,MATCH(BE$3,$X$3:$AQ$3,0))
)</f>
        <v>1.046699853635333E-4</v>
      </c>
      <c r="AJ43" s="21">
        <f ca="1">_xlfn.COVARIANCE.S(
  INDEX($X$4:$AQ$21,,MATCH($W43,$X$3:$AQ$3,0)),
  INDEX($X$4:$AQ$21,,MATCH(BF$3,$X$3:$AQ$3,0))
)</f>
        <v>1.0259528214167469E-4</v>
      </c>
      <c r="AK43" s="21">
        <f ca="1">_xlfn.COVARIANCE.S(
  INDEX($X$4:$AQ$21,,MATCH($W43,$X$3:$AQ$3,0)),
  INDEX($X$4:$AQ$21,,MATCH(BG$3,$X$3:$AQ$3,0))
)</f>
        <v>-2.3574150013741516E-5</v>
      </c>
      <c r="AL43" s="21">
        <f ca="1">_xlfn.COVARIANCE.S(
  INDEX($X$4:$AQ$21,,MATCH($W43,$X$3:$AQ$3,0)),
  INDEX($X$4:$AQ$21,,MATCH(BH$3,$X$3:$AQ$3,0))
)</f>
        <v>-8.4810222285641441E-5</v>
      </c>
      <c r="AM43" s="21">
        <f ca="1">_xlfn.COVARIANCE.S(
  INDEX($X$4:$AQ$21,,MATCH($W43,$X$3:$AQ$3,0)),
  INDEX($X$4:$AQ$21,,MATCH(BI$3,$X$3:$AQ$3,0))
)</f>
        <v>-3.28458812074289E-5</v>
      </c>
      <c r="AN43" s="21">
        <f ca="1">_xlfn.COVARIANCE.S(
  INDEX($X$4:$AQ$21,,MATCH($W43,$X$3:$AQ$3,0)),
  INDEX($X$4:$AQ$21,,MATCH(BJ$3,$X$3:$AQ$3,0))
)</f>
        <v>-5.7380604941299476E-5</v>
      </c>
      <c r="AO43" s="21">
        <f ca="1">_xlfn.COVARIANCE.S(
  INDEX($X$4:$AQ$21,,MATCH($W43,$X$3:$AQ$3,0)),
  INDEX($X$4:$AQ$21,,MATCH(BK$3,$X$3:$AQ$3,0))
)</f>
        <v>3.8660213824293686E-5</v>
      </c>
      <c r="AP43" s="21">
        <f ca="1">_xlfn.COVARIANCE.S(
  INDEX($X$4:$AQ$21,,MATCH($W43,$X$3:$AQ$3,0)),
  INDEX($X$4:$AQ$21,,MATCH(BL$3,$X$3:$AQ$3,0))
)</f>
        <v>4.5320560377301379E-5</v>
      </c>
      <c r="AQ43" s="22">
        <f ca="1">_xlfn.COVARIANCE.S(
  INDEX($X$4:$AQ$21,,MATCH($W43,$X$3:$AQ$3,0)),
  INDEX($X$4:$AQ$21,,MATCH(BM$3,$X$3:$AQ$3,0))
)</f>
        <v>-3.4610977704543831E-6</v>
      </c>
    </row>
    <row r="44" spans="23:43" hidden="1" x14ac:dyDescent="0.3">
      <c r="W44" s="31" t="s">
        <v>2</v>
      </c>
      <c r="X44" s="21">
        <f ca="1">_xlfn.COVARIANCE.S(
  INDEX($X$4:$AQ$21,,MATCH($W44,$X$3:$AQ$3,0)),
  INDEX($X$4:$AQ$21,,MATCH(AT$3,$X$3:$AQ$3,0))
)</f>
        <v>4.1760911228150039E-4</v>
      </c>
      <c r="Y44" s="21">
        <f ca="1">_xlfn.COVARIANCE.S(
  INDEX($X$4:$AQ$21,,MATCH($W44,$X$3:$AQ$3,0)),
  INDEX($X$4:$AQ$21,,MATCH(AU$3,$X$3:$AQ$3,0))
)</f>
        <v>5.3341947482535907E-5</v>
      </c>
      <c r="Z44" s="21">
        <f ca="1">_xlfn.COVARIANCE.S(
  INDEX($X$4:$AQ$21,,MATCH($W44,$X$3:$AQ$3,0)),
  INDEX($X$4:$AQ$21,,MATCH(AV$3,$X$3:$AQ$3,0))
)</f>
        <v>3.1044656420654028E-5</v>
      </c>
      <c r="AA44" s="21">
        <f ca="1">_xlfn.COVARIANCE.S(
  INDEX($X$4:$AQ$21,,MATCH($W44,$X$3:$AQ$3,0)),
  INDEX($X$4:$AQ$21,,MATCH(AW$3,$X$3:$AQ$3,0))
)</f>
        <v>6.3114406916864779E-5</v>
      </c>
      <c r="AB44" s="21">
        <f ca="1">_xlfn.COVARIANCE.S(
  INDEX($X$4:$AQ$21,,MATCH($W44,$X$3:$AQ$3,0)),
  INDEX($X$4:$AQ$21,,MATCH(AX$3,$X$3:$AQ$3,0))
)</f>
        <v>2.0889541309906771E-4</v>
      </c>
      <c r="AC44" s="21">
        <f ca="1">_xlfn.COVARIANCE.S(
  INDEX($X$4:$AQ$21,,MATCH($W44,$X$3:$AQ$3,0)),
  INDEX($X$4:$AQ$21,,MATCH(AY$3,$X$3:$AQ$3,0))
)</f>
        <v>2.0330417691168597E-4</v>
      </c>
      <c r="AD44" s="21">
        <f ca="1">_xlfn.COVARIANCE.S(
  INDEX($X$4:$AQ$21,,MATCH($W44,$X$3:$AQ$3,0)),
  INDEX($X$4:$AQ$21,,MATCH(AZ$3,$X$3:$AQ$3,0))
)</f>
        <v>2.588664581579317E-5</v>
      </c>
      <c r="AE44" s="21">
        <f ca="1">_xlfn.COVARIANCE.S(
  INDEX($X$4:$AQ$21,,MATCH($W44,$X$3:$AQ$3,0)),
  INDEX($X$4:$AQ$21,,MATCH(BA$3,$X$3:$AQ$3,0))
)</f>
        <v>7.1946309803129504E-4</v>
      </c>
      <c r="AF44" s="21">
        <f ca="1">_xlfn.COVARIANCE.S(
  INDEX($X$4:$AQ$21,,MATCH($W44,$X$3:$AQ$3,0)),
  INDEX($X$4:$AQ$21,,MATCH(BB$3,$X$3:$AQ$3,0))
)</f>
        <v>-1.5737999305223113E-5</v>
      </c>
      <c r="AG44" s="21">
        <f ca="1">_xlfn.COVARIANCE.S(
  INDEX($X$4:$AQ$21,,MATCH($W44,$X$3:$AQ$3,0)),
  INDEX($X$4:$AQ$21,,MATCH(BC$3,$X$3:$AQ$3,0))
)</f>
        <v>3.0537095181650486E-4</v>
      </c>
      <c r="AH44" s="21">
        <f ca="1">_xlfn.COVARIANCE.S(
  INDEX($X$4:$AQ$21,,MATCH($W44,$X$3:$AQ$3,0)),
  INDEX($X$4:$AQ$21,,MATCH(BD$3,$X$3:$AQ$3,0))
)</f>
        <v>5.8852044246028102E-4</v>
      </c>
      <c r="AI44" s="21">
        <f ca="1">_xlfn.COVARIANCE.S(
  INDEX($X$4:$AQ$21,,MATCH($W44,$X$3:$AQ$3,0)),
  INDEX($X$4:$AQ$21,,MATCH(BE$3,$X$3:$AQ$3,0))
)</f>
        <v>-1.1648259709195777E-4</v>
      </c>
      <c r="AJ44" s="21">
        <f ca="1">_xlfn.COVARIANCE.S(
  INDEX($X$4:$AQ$21,,MATCH($W44,$X$3:$AQ$3,0)),
  INDEX($X$4:$AQ$21,,MATCH(BF$3,$X$3:$AQ$3,0))
)</f>
        <v>-2.3574150013741516E-5</v>
      </c>
      <c r="AK44" s="21">
        <f ca="1">_xlfn.COVARIANCE.S(
  INDEX($X$4:$AQ$21,,MATCH($W44,$X$3:$AQ$3,0)),
  INDEX($X$4:$AQ$21,,MATCH(BG$3,$X$3:$AQ$3,0))
)</f>
        <v>6.7848870753967159E-4</v>
      </c>
      <c r="AL44" s="21">
        <f ca="1">_xlfn.COVARIANCE.S(
  INDEX($X$4:$AQ$21,,MATCH($W44,$X$3:$AQ$3,0)),
  INDEX($X$4:$AQ$21,,MATCH(BH$3,$X$3:$AQ$3,0))
)</f>
        <v>9.1805607413037685E-4</v>
      </c>
      <c r="AM44" s="21">
        <f ca="1">_xlfn.COVARIANCE.S(
  INDEX($X$4:$AQ$21,,MATCH($W44,$X$3:$AQ$3,0)),
  INDEX($X$4:$AQ$21,,MATCH(BI$3,$X$3:$AQ$3,0))
)</f>
        <v>1.6611282562754997E-4</v>
      </c>
      <c r="AN44" s="21">
        <f ca="1">_xlfn.COVARIANCE.S(
  INDEX($X$4:$AQ$21,,MATCH($W44,$X$3:$AQ$3,0)),
  INDEX($X$4:$AQ$21,,MATCH(BJ$3,$X$3:$AQ$3,0))
)</f>
        <v>8.3453783014130831E-5</v>
      </c>
      <c r="AO44" s="21">
        <f ca="1">_xlfn.COVARIANCE.S(
  INDEX($X$4:$AQ$21,,MATCH($W44,$X$3:$AQ$3,0)),
  INDEX($X$4:$AQ$21,,MATCH(BK$3,$X$3:$AQ$3,0))
)</f>
        <v>2.8075025565823245E-4</v>
      </c>
      <c r="AP44" s="21">
        <f ca="1">_xlfn.COVARIANCE.S(
  INDEX($X$4:$AQ$21,,MATCH($W44,$X$3:$AQ$3,0)),
  INDEX($X$4:$AQ$21,,MATCH(BL$3,$X$3:$AQ$3,0))
)</f>
        <v>-1.3870258271325562E-4</v>
      </c>
      <c r="AQ44" s="22">
        <f ca="1">_xlfn.COVARIANCE.S(
  INDEX($X$4:$AQ$21,,MATCH($W44,$X$3:$AQ$3,0)),
  INDEX($X$4:$AQ$21,,MATCH(BM$3,$X$3:$AQ$3,0))
)</f>
        <v>8.7120306950569474E-5</v>
      </c>
    </row>
    <row r="45" spans="23:43" hidden="1" x14ac:dyDescent="0.3">
      <c r="W45" s="31" t="s">
        <v>32</v>
      </c>
      <c r="X45" s="21">
        <f ca="1">_xlfn.COVARIANCE.S(
  INDEX($X$4:$AQ$21,,MATCH($W45,$X$3:$AQ$3,0)),
  INDEX($X$4:$AQ$21,,MATCH(AT$3,$X$3:$AQ$3,0))
)</f>
        <v>5.3466214794849762E-4</v>
      </c>
      <c r="Y45" s="21">
        <f ca="1">_xlfn.COVARIANCE.S(
  INDEX($X$4:$AQ$21,,MATCH($W45,$X$3:$AQ$3,0)),
  INDEX($X$4:$AQ$21,,MATCH(AU$3,$X$3:$AQ$3,0))
)</f>
        <v>6.8577826097908956E-5</v>
      </c>
      <c r="Z45" s="21">
        <f ca="1">_xlfn.COVARIANCE.S(
  INDEX($X$4:$AQ$21,,MATCH($W45,$X$3:$AQ$3,0)),
  INDEX($X$4:$AQ$21,,MATCH(AV$3,$X$3:$AQ$3,0))
)</f>
        <v>1.050599652644013E-5</v>
      </c>
      <c r="AA45" s="21">
        <f ca="1">_xlfn.COVARIANCE.S(
  INDEX($X$4:$AQ$21,,MATCH($W45,$X$3:$AQ$3,0)),
  INDEX($X$4:$AQ$21,,MATCH(AW$3,$X$3:$AQ$3,0))
)</f>
        <v>1.9754142252401171E-4</v>
      </c>
      <c r="AB45" s="21">
        <f ca="1">_xlfn.COVARIANCE.S(
  INDEX($X$4:$AQ$21,,MATCH($W45,$X$3:$AQ$3,0)),
  INDEX($X$4:$AQ$21,,MATCH(AX$3,$X$3:$AQ$3,0))
)</f>
        <v>3.7235845435293948E-4</v>
      </c>
      <c r="AC45" s="21">
        <f ca="1">_xlfn.COVARIANCE.S(
  INDEX($X$4:$AQ$21,,MATCH($W45,$X$3:$AQ$3,0)),
  INDEX($X$4:$AQ$21,,MATCH(AY$3,$X$3:$AQ$3,0))
)</f>
        <v>3.5854962231537767E-4</v>
      </c>
      <c r="AD45" s="21">
        <f ca="1">_xlfn.COVARIANCE.S(
  INDEX($X$4:$AQ$21,,MATCH($W45,$X$3:$AQ$3,0)),
  INDEX($X$4:$AQ$21,,MATCH(AZ$3,$X$3:$AQ$3,0))
)</f>
        <v>3.4630098463499322E-5</v>
      </c>
      <c r="AE45" s="21">
        <f ca="1">_xlfn.COVARIANCE.S(
  INDEX($X$4:$AQ$21,,MATCH($W45,$X$3:$AQ$3,0)),
  INDEX($X$4:$AQ$21,,MATCH(BA$3,$X$3:$AQ$3,0))
)</f>
        <v>1.1003508976763655E-3</v>
      </c>
      <c r="AF45" s="21">
        <f ca="1">_xlfn.COVARIANCE.S(
  INDEX($X$4:$AQ$21,,MATCH($W45,$X$3:$AQ$3,0)),
  INDEX($X$4:$AQ$21,,MATCH(BB$3,$X$3:$AQ$3,0))
)</f>
        <v>-5.4314497620576481E-5</v>
      </c>
      <c r="AG45" s="21">
        <f ca="1">_xlfn.COVARIANCE.S(
  INDEX($X$4:$AQ$21,,MATCH($W45,$X$3:$AQ$3,0)),
  INDEX($X$4:$AQ$21,,MATCH(BC$3,$X$3:$AQ$3,0))
)</f>
        <v>4.1382594186152138E-4</v>
      </c>
      <c r="AH45" s="21">
        <f ca="1">_xlfn.COVARIANCE.S(
  INDEX($X$4:$AQ$21,,MATCH($W45,$X$3:$AQ$3,0)),
  INDEX($X$4:$AQ$21,,MATCH(BD$3,$X$3:$AQ$3,0))
)</f>
        <v>9.4405039101217239E-4</v>
      </c>
      <c r="AI45" s="21">
        <f ca="1">_xlfn.COVARIANCE.S(
  INDEX($X$4:$AQ$21,,MATCH($W45,$X$3:$AQ$3,0)),
  INDEX($X$4:$AQ$21,,MATCH(BE$3,$X$3:$AQ$3,0))
)</f>
        <v>-4.1014082838736464E-4</v>
      </c>
      <c r="AJ45" s="21">
        <f ca="1">_xlfn.COVARIANCE.S(
  INDEX($X$4:$AQ$21,,MATCH($W45,$X$3:$AQ$3,0)),
  INDEX($X$4:$AQ$21,,MATCH(BF$3,$X$3:$AQ$3,0))
)</f>
        <v>-8.4810222285641441E-5</v>
      </c>
      <c r="AK45" s="21">
        <f ca="1">_xlfn.COVARIANCE.S(
  INDEX($X$4:$AQ$21,,MATCH($W45,$X$3:$AQ$3,0)),
  INDEX($X$4:$AQ$21,,MATCH(BG$3,$X$3:$AQ$3,0))
)</f>
        <v>9.1805607413037685E-4</v>
      </c>
      <c r="AL45" s="21">
        <f ca="1">_xlfn.COVARIANCE.S(
  INDEX($X$4:$AQ$21,,MATCH($W45,$X$3:$AQ$3,0)),
  INDEX($X$4:$AQ$21,,MATCH(BH$3,$X$3:$AQ$3,0))
)</f>
        <v>2.0620055715194117E-3</v>
      </c>
      <c r="AM45" s="21">
        <f ca="1">_xlfn.COVARIANCE.S(
  INDEX($X$4:$AQ$21,,MATCH($W45,$X$3:$AQ$3,0)),
  INDEX($X$4:$AQ$21,,MATCH(BI$3,$X$3:$AQ$3,0))
)</f>
        <v>2.7789151757154319E-4</v>
      </c>
      <c r="AN45" s="21">
        <f ca="1">_xlfn.COVARIANCE.S(
  INDEX($X$4:$AQ$21,,MATCH($W45,$X$3:$AQ$3,0)),
  INDEX($X$4:$AQ$21,,MATCH(BJ$3,$X$3:$AQ$3,0))
)</f>
        <v>1.6178118926637265E-4</v>
      </c>
      <c r="AO45" s="21">
        <f ca="1">_xlfn.COVARIANCE.S(
  INDEX($X$4:$AQ$21,,MATCH($W45,$X$3:$AQ$3,0)),
  INDEX($X$4:$AQ$21,,MATCH(BK$3,$X$3:$AQ$3,0))
)</f>
        <v>3.8615618552830097E-4</v>
      </c>
      <c r="AP45" s="21">
        <f ca="1">_xlfn.COVARIANCE.S(
  INDEX($X$4:$AQ$21,,MATCH($W45,$X$3:$AQ$3,0)),
  INDEX($X$4:$AQ$21,,MATCH(BL$3,$X$3:$AQ$3,0))
)</f>
        <v>-2.5909843585559156E-4</v>
      </c>
      <c r="AQ45" s="22">
        <f ca="1">_xlfn.COVARIANCE.S(
  INDEX($X$4:$AQ$21,,MATCH($W45,$X$3:$AQ$3,0)),
  INDEX($X$4:$AQ$21,,MATCH(BM$3,$X$3:$AQ$3,0))
)</f>
        <v>2.829247499094936E-4</v>
      </c>
    </row>
    <row r="46" spans="23:43" hidden="1" x14ac:dyDescent="0.3">
      <c r="W46" s="31" t="s">
        <v>34</v>
      </c>
      <c r="X46" s="21">
        <f ca="1">_xlfn.COVARIANCE.S(
  INDEX($X$4:$AQ$21,,MATCH($W46,$X$3:$AQ$3,0)),
  INDEX($X$4:$AQ$21,,MATCH(AT$3,$X$3:$AQ$3,0))
)</f>
        <v>1.5008707236786813E-4</v>
      </c>
      <c r="Y46" s="21">
        <f ca="1">_xlfn.COVARIANCE.S(
  INDEX($X$4:$AQ$21,,MATCH($W46,$X$3:$AQ$3,0)),
  INDEX($X$4:$AQ$21,,MATCH(AU$3,$X$3:$AQ$3,0))
)</f>
        <v>1.7172786220038293E-5</v>
      </c>
      <c r="Z46" s="21">
        <f ca="1">_xlfn.COVARIANCE.S(
  INDEX($X$4:$AQ$21,,MATCH($W46,$X$3:$AQ$3,0)),
  INDEX($X$4:$AQ$21,,MATCH(AV$3,$X$3:$AQ$3,0))
)</f>
        <v>3.1087361873477739E-5</v>
      </c>
      <c r="AA46" s="21">
        <f ca="1">_xlfn.COVARIANCE.S(
  INDEX($X$4:$AQ$21,,MATCH($W46,$X$3:$AQ$3,0)),
  INDEX($X$4:$AQ$21,,MATCH(AW$3,$X$3:$AQ$3,0))
)</f>
        <v>6.3439665486659798E-5</v>
      </c>
      <c r="AB46" s="21">
        <f ca="1">_xlfn.COVARIANCE.S(
  INDEX($X$4:$AQ$21,,MATCH($W46,$X$3:$AQ$3,0)),
  INDEX($X$4:$AQ$21,,MATCH(AX$3,$X$3:$AQ$3,0))
)</f>
        <v>8.5653290807226283E-5</v>
      </c>
      <c r="AC46" s="21">
        <f ca="1">_xlfn.COVARIANCE.S(
  INDEX($X$4:$AQ$21,,MATCH($W46,$X$3:$AQ$3,0)),
  INDEX($X$4:$AQ$21,,MATCH(AY$3,$X$3:$AQ$3,0))
)</f>
        <v>8.5630520519820787E-5</v>
      </c>
      <c r="AD46" s="21">
        <f ca="1">_xlfn.COVARIANCE.S(
  INDEX($X$4:$AQ$21,,MATCH($W46,$X$3:$AQ$3,0)),
  INDEX($X$4:$AQ$21,,MATCH(AZ$3,$X$3:$AQ$3,0))
)</f>
        <v>1.4703907455226183E-5</v>
      </c>
      <c r="AE46" s="21">
        <f ca="1">_xlfn.COVARIANCE.S(
  INDEX($X$4:$AQ$21,,MATCH($W46,$X$3:$AQ$3,0)),
  INDEX($X$4:$AQ$21,,MATCH(BA$3,$X$3:$AQ$3,0))
)</f>
        <v>2.4506529163131397E-4</v>
      </c>
      <c r="AF46" s="21">
        <f ca="1">_xlfn.COVARIANCE.S(
  INDEX($X$4:$AQ$21,,MATCH($W46,$X$3:$AQ$3,0)),
  INDEX($X$4:$AQ$21,,MATCH(BB$3,$X$3:$AQ$3,0))
)</f>
        <v>6.7564181610714374E-5</v>
      </c>
      <c r="AG46" s="21">
        <f ca="1">_xlfn.COVARIANCE.S(
  INDEX($X$4:$AQ$21,,MATCH($W46,$X$3:$AQ$3,0)),
  INDEX($X$4:$AQ$21,,MATCH(BC$3,$X$3:$AQ$3,0))
)</f>
        <v>2.2677946556570755E-4</v>
      </c>
      <c r="AH46" s="21">
        <f ca="1">_xlfn.COVARIANCE.S(
  INDEX($X$4:$AQ$21,,MATCH($W46,$X$3:$AQ$3,0)),
  INDEX($X$4:$AQ$21,,MATCH(BD$3,$X$3:$AQ$3,0))
)</f>
        <v>1.063262610151962E-4</v>
      </c>
      <c r="AI46" s="21">
        <f ca="1">_xlfn.COVARIANCE.S(
  INDEX($X$4:$AQ$21,,MATCH($W46,$X$3:$AQ$3,0)),
  INDEX($X$4:$AQ$21,,MATCH(BE$3,$X$3:$AQ$3,0))
)</f>
        <v>-6.3487292769919944E-5</v>
      </c>
      <c r="AJ46" s="21">
        <f ca="1">_xlfn.COVARIANCE.S(
  INDEX($X$4:$AQ$21,,MATCH($W46,$X$3:$AQ$3,0)),
  INDEX($X$4:$AQ$21,,MATCH(BF$3,$X$3:$AQ$3,0))
)</f>
        <v>-3.28458812074289E-5</v>
      </c>
      <c r="AK46" s="21">
        <f ca="1">_xlfn.COVARIANCE.S(
  INDEX($X$4:$AQ$21,,MATCH($W46,$X$3:$AQ$3,0)),
  INDEX($X$4:$AQ$21,,MATCH(BG$3,$X$3:$AQ$3,0))
)</f>
        <v>1.6611282562754997E-4</v>
      </c>
      <c r="AL46" s="21">
        <f ca="1">_xlfn.COVARIANCE.S(
  INDEX($X$4:$AQ$21,,MATCH($W46,$X$3:$AQ$3,0)),
  INDEX($X$4:$AQ$21,,MATCH(BH$3,$X$3:$AQ$3,0))
)</f>
        <v>2.7789151757154319E-4</v>
      </c>
      <c r="AM46" s="21">
        <f ca="1">_xlfn.COVARIANCE.S(
  INDEX($X$4:$AQ$21,,MATCH($W46,$X$3:$AQ$3,0)),
  INDEX($X$4:$AQ$21,,MATCH(BI$3,$X$3:$AQ$3,0))
)</f>
        <v>1.2004539430962944E-4</v>
      </c>
      <c r="AN46" s="21">
        <f ca="1">_xlfn.COVARIANCE.S(
  INDEX($X$4:$AQ$21,,MATCH($W46,$X$3:$AQ$3,0)),
  INDEX($X$4:$AQ$21,,MATCH(BJ$3,$X$3:$AQ$3,0))
)</f>
        <v>7.5083599383947395E-5</v>
      </c>
      <c r="AO46" s="21">
        <f ca="1">_xlfn.COVARIANCE.S(
  INDEX($X$4:$AQ$21,,MATCH($W46,$X$3:$AQ$3,0)),
  INDEX($X$4:$AQ$21,,MATCH(BK$3,$X$3:$AQ$3,0))
)</f>
        <v>2.5166492766963232E-4</v>
      </c>
      <c r="AP46" s="21">
        <f ca="1">_xlfn.COVARIANCE.S(
  INDEX($X$4:$AQ$21,,MATCH($W46,$X$3:$AQ$3,0)),
  INDEX($X$4:$AQ$21,,MATCH(BL$3,$X$3:$AQ$3,0))
)</f>
        <v>-6.0002938309256972E-5</v>
      </c>
      <c r="AQ46" s="22">
        <f ca="1">_xlfn.COVARIANCE.S(
  INDEX($X$4:$AQ$21,,MATCH($W46,$X$3:$AQ$3,0)),
  INDEX($X$4:$AQ$21,,MATCH(BM$3,$X$3:$AQ$3,0))
)</f>
        <v>1.0647168627182504E-4</v>
      </c>
    </row>
    <row r="47" spans="23:43" hidden="1" x14ac:dyDescent="0.3">
      <c r="W47" s="31" t="s">
        <v>36</v>
      </c>
      <c r="X47" s="21">
        <f ca="1">_xlfn.COVARIANCE.S(
  INDEX($X$4:$AQ$21,,MATCH($W47,$X$3:$AQ$3,0)),
  INDEX($X$4:$AQ$21,,MATCH(AT$3,$X$3:$AQ$3,0))
)</f>
        <v>1.1846733890702702E-4</v>
      </c>
      <c r="Y47" s="21">
        <f ca="1">_xlfn.COVARIANCE.S(
  INDEX($X$4:$AQ$21,,MATCH($W47,$X$3:$AQ$3,0)),
  INDEX($X$4:$AQ$21,,MATCH(AU$3,$X$3:$AQ$3,0))
)</f>
        <v>9.0259207825708338E-6</v>
      </c>
      <c r="Z47" s="21">
        <f ca="1">_xlfn.COVARIANCE.S(
  INDEX($X$4:$AQ$21,,MATCH($W47,$X$3:$AQ$3,0)),
  INDEX($X$4:$AQ$21,,MATCH(AV$3,$X$3:$AQ$3,0))
)</f>
        <v>-1.349182909634451E-5</v>
      </c>
      <c r="AA47" s="21">
        <f ca="1">_xlfn.COVARIANCE.S(
  INDEX($X$4:$AQ$21,,MATCH($W47,$X$3:$AQ$3,0)),
  INDEX($X$4:$AQ$21,,MATCH(AW$3,$X$3:$AQ$3,0))
)</f>
        <v>3.2231327469023913E-5</v>
      </c>
      <c r="AB47" s="21">
        <f ca="1">_xlfn.COVARIANCE.S(
  INDEX($X$4:$AQ$21,,MATCH($W47,$X$3:$AQ$3,0)),
  INDEX($X$4:$AQ$21,,MATCH(AX$3,$X$3:$AQ$3,0))
)</f>
        <v>5.7654131935278858E-5</v>
      </c>
      <c r="AC47" s="21">
        <f ca="1">_xlfn.COVARIANCE.S(
  INDEX($X$4:$AQ$21,,MATCH($W47,$X$3:$AQ$3,0)),
  INDEX($X$4:$AQ$21,,MATCH(AY$3,$X$3:$AQ$3,0))
)</f>
        <v>5.6468535010971461E-5</v>
      </c>
      <c r="AD47" s="21">
        <f ca="1">_xlfn.COVARIANCE.S(
  INDEX($X$4:$AQ$21,,MATCH($W47,$X$3:$AQ$3,0)),
  INDEX($X$4:$AQ$21,,MATCH(AZ$3,$X$3:$AQ$3,0))
)</f>
        <v>2.9827991569557807E-5</v>
      </c>
      <c r="AE47" s="21">
        <f ca="1">_xlfn.COVARIANCE.S(
  INDEX($X$4:$AQ$21,,MATCH($W47,$X$3:$AQ$3,0)),
  INDEX($X$4:$AQ$21,,MATCH(BA$3,$X$3:$AQ$3,0))
)</f>
        <v>9.6231302857681337E-5</v>
      </c>
      <c r="AF47" s="21">
        <f ca="1">_xlfn.COVARIANCE.S(
  INDEX($X$4:$AQ$21,,MATCH($W47,$X$3:$AQ$3,0)),
  INDEX($X$4:$AQ$21,,MATCH(BB$3,$X$3:$AQ$3,0))
)</f>
        <v>8.7320463814839492E-5</v>
      </c>
      <c r="AG47" s="21">
        <f ca="1">_xlfn.COVARIANCE.S(
  INDEX($X$4:$AQ$21,,MATCH($W47,$X$3:$AQ$3,0)),
  INDEX($X$4:$AQ$21,,MATCH(BC$3,$X$3:$AQ$3,0))
)</f>
        <v>1.5573622709028146E-4</v>
      </c>
      <c r="AH47" s="21">
        <f ca="1">_xlfn.COVARIANCE.S(
  INDEX($X$4:$AQ$21,,MATCH($W47,$X$3:$AQ$3,0)),
  INDEX($X$4:$AQ$21,,MATCH(BD$3,$X$3:$AQ$3,0))
)</f>
        <v>1.0506347382877061E-4</v>
      </c>
      <c r="AI47" s="21">
        <f ca="1">_xlfn.COVARIANCE.S(
  INDEX($X$4:$AQ$21,,MATCH($W47,$X$3:$AQ$3,0)),
  INDEX($X$4:$AQ$21,,MATCH(BE$3,$X$3:$AQ$3,0))
)</f>
        <v>-9.2931525488405565E-5</v>
      </c>
      <c r="AJ47" s="21">
        <f ca="1">_xlfn.COVARIANCE.S(
  INDEX($X$4:$AQ$21,,MATCH($W47,$X$3:$AQ$3,0)),
  INDEX($X$4:$AQ$21,,MATCH(BF$3,$X$3:$AQ$3,0))
)</f>
        <v>-5.7380604941299476E-5</v>
      </c>
      <c r="AK47" s="21">
        <f ca="1">_xlfn.COVARIANCE.S(
  INDEX($X$4:$AQ$21,,MATCH($W47,$X$3:$AQ$3,0)),
  INDEX($X$4:$AQ$21,,MATCH(BG$3,$X$3:$AQ$3,0))
)</f>
        <v>8.3453783014130831E-5</v>
      </c>
      <c r="AL47" s="21">
        <f ca="1">_xlfn.COVARIANCE.S(
  INDEX($X$4:$AQ$21,,MATCH($W47,$X$3:$AQ$3,0)),
  INDEX($X$4:$AQ$21,,MATCH(BH$3,$X$3:$AQ$3,0))
)</f>
        <v>1.6178118926637265E-4</v>
      </c>
      <c r="AM47" s="21">
        <f ca="1">_xlfn.COVARIANCE.S(
  INDEX($X$4:$AQ$21,,MATCH($W47,$X$3:$AQ$3,0)),
  INDEX($X$4:$AQ$21,,MATCH(BI$3,$X$3:$AQ$3,0))
)</f>
        <v>7.5083599383947395E-5</v>
      </c>
      <c r="AN47" s="21">
        <f ca="1">_xlfn.COVARIANCE.S(
  INDEX($X$4:$AQ$21,,MATCH($W47,$X$3:$AQ$3,0)),
  INDEX($X$4:$AQ$21,,MATCH(BJ$3,$X$3:$AQ$3,0))
)</f>
        <v>1.1038311385872998E-4</v>
      </c>
      <c r="AO47" s="21">
        <f ca="1">_xlfn.COVARIANCE.S(
  INDEX($X$4:$AQ$21,,MATCH($W47,$X$3:$AQ$3,0)),
  INDEX($X$4:$AQ$21,,MATCH(BK$3,$X$3:$AQ$3,0))
)</f>
        <v>4.0209596285049082E-5</v>
      </c>
      <c r="AP47" s="21">
        <f ca="1">_xlfn.COVARIANCE.S(
  INDEX($X$4:$AQ$21,,MATCH($W47,$X$3:$AQ$3,0)),
  INDEX($X$4:$AQ$21,,MATCH(BL$3,$X$3:$AQ$3,0))
)</f>
        <v>-3.2810850305171149E-5</v>
      </c>
      <c r="AQ47" s="22">
        <f ca="1">_xlfn.COVARIANCE.S(
  INDEX($X$4:$AQ$21,,MATCH($W47,$X$3:$AQ$3,0)),
  INDEX($X$4:$AQ$21,,MATCH(BM$3,$X$3:$AQ$3,0))
)</f>
        <v>7.267467194402412E-5</v>
      </c>
    </row>
    <row r="48" spans="23:43" hidden="1" x14ac:dyDescent="0.3">
      <c r="W48" s="31" t="s">
        <v>38</v>
      </c>
      <c r="X48" s="21">
        <f ca="1">_xlfn.COVARIANCE.S(
  INDEX($X$4:$AQ$21,,MATCH($W48,$X$3:$AQ$3,0)),
  INDEX($X$4:$AQ$21,,MATCH(AT$3,$X$3:$AQ$3,0))
)</f>
        <v>2.9985346090104161E-4</v>
      </c>
      <c r="Y48" s="21">
        <f ca="1">_xlfn.COVARIANCE.S(
  INDEX($X$4:$AQ$21,,MATCH($W48,$X$3:$AQ$3,0)),
  INDEX($X$4:$AQ$21,,MATCH(AU$3,$X$3:$AQ$3,0))
)</f>
        <v>7.0208704299823365E-6</v>
      </c>
      <c r="Z48" s="21">
        <f ca="1">_xlfn.COVARIANCE.S(
  INDEX($X$4:$AQ$21,,MATCH($W48,$X$3:$AQ$3,0)),
  INDEX($X$4:$AQ$21,,MATCH(AV$3,$X$3:$AQ$3,0))
)</f>
        <v>2.809791860723357E-4</v>
      </c>
      <c r="AA48" s="21">
        <f ca="1">_xlfn.COVARIANCE.S(
  INDEX($X$4:$AQ$21,,MATCH($W48,$X$3:$AQ$3,0)),
  INDEX($X$4:$AQ$21,,MATCH(AW$3,$X$3:$AQ$3,0))
)</f>
        <v>2.4021879156424926E-4</v>
      </c>
      <c r="AB48" s="21">
        <f ca="1">_xlfn.COVARIANCE.S(
  INDEX($X$4:$AQ$21,,MATCH($W48,$X$3:$AQ$3,0)),
  INDEX($X$4:$AQ$21,,MATCH(AX$3,$X$3:$AQ$3,0))
)</f>
        <v>1.4899458683129645E-4</v>
      </c>
      <c r="AC48" s="21">
        <f ca="1">_xlfn.COVARIANCE.S(
  INDEX($X$4:$AQ$21,,MATCH($W48,$X$3:$AQ$3,0)),
  INDEX($X$4:$AQ$21,,MATCH(AY$3,$X$3:$AQ$3,0))
)</f>
        <v>1.61305347695891E-4</v>
      </c>
      <c r="AD48" s="21">
        <f ca="1">_xlfn.COVARIANCE.S(
  INDEX($X$4:$AQ$21,,MATCH($W48,$X$3:$AQ$3,0)),
  INDEX($X$4:$AQ$21,,MATCH(AZ$3,$X$3:$AQ$3,0))
)</f>
        <v>2.028494730581689E-4</v>
      </c>
      <c r="AE48" s="21">
        <f ca="1">_xlfn.COVARIANCE.S(
  INDEX($X$4:$AQ$21,,MATCH($W48,$X$3:$AQ$3,0)),
  INDEX($X$4:$AQ$21,,MATCH(BA$3,$X$3:$AQ$3,0))
)</f>
        <v>5.8073911945356914E-4</v>
      </c>
      <c r="AF48" s="21">
        <f ca="1">_xlfn.COVARIANCE.S(
  INDEX($X$4:$AQ$21,,MATCH($W48,$X$3:$AQ$3,0)),
  INDEX($X$4:$AQ$21,,MATCH(BB$3,$X$3:$AQ$3,0))
)</f>
        <v>3.3077433642337726E-4</v>
      </c>
      <c r="AG48" s="21">
        <f ca="1">_xlfn.COVARIANCE.S(
  INDEX($X$4:$AQ$21,,MATCH($W48,$X$3:$AQ$3,0)),
  INDEX($X$4:$AQ$21,,MATCH(BC$3,$X$3:$AQ$3,0))
)</f>
        <v>7.3924686031620482E-4</v>
      </c>
      <c r="AH48" s="21">
        <f ca="1">_xlfn.COVARIANCE.S(
  INDEX($X$4:$AQ$21,,MATCH($W48,$X$3:$AQ$3,0)),
  INDEX($X$4:$AQ$21,,MATCH(BD$3,$X$3:$AQ$3,0))
)</f>
        <v>-7.5982509435481462E-5</v>
      </c>
      <c r="AI48" s="21">
        <f ca="1">_xlfn.COVARIANCE.S(
  INDEX($X$4:$AQ$21,,MATCH($W48,$X$3:$AQ$3,0)),
  INDEX($X$4:$AQ$21,,MATCH(BE$3,$X$3:$AQ$3,0))
)</f>
        <v>1.2254616652362534E-4</v>
      </c>
      <c r="AJ48" s="21">
        <f ca="1">_xlfn.COVARIANCE.S(
  INDEX($X$4:$AQ$21,,MATCH($W48,$X$3:$AQ$3,0)),
  INDEX($X$4:$AQ$21,,MATCH(BF$3,$X$3:$AQ$3,0))
)</f>
        <v>3.8660213824293686E-5</v>
      </c>
      <c r="AK48" s="21">
        <f ca="1">_xlfn.COVARIANCE.S(
  INDEX($X$4:$AQ$21,,MATCH($W48,$X$3:$AQ$3,0)),
  INDEX($X$4:$AQ$21,,MATCH(BG$3,$X$3:$AQ$3,0))
)</f>
        <v>2.8075025565823245E-4</v>
      </c>
      <c r="AL48" s="21">
        <f ca="1">_xlfn.COVARIANCE.S(
  INDEX($X$4:$AQ$21,,MATCH($W48,$X$3:$AQ$3,0)),
  INDEX($X$4:$AQ$21,,MATCH(BH$3,$X$3:$AQ$3,0))
)</f>
        <v>3.8615618552830097E-4</v>
      </c>
      <c r="AM48" s="21">
        <f ca="1">_xlfn.COVARIANCE.S(
  INDEX($X$4:$AQ$21,,MATCH($W48,$X$3:$AQ$3,0)),
  INDEX($X$4:$AQ$21,,MATCH(BI$3,$X$3:$AQ$3,0))
)</f>
        <v>2.5166492766963232E-4</v>
      </c>
      <c r="AN48" s="21">
        <f ca="1">_xlfn.COVARIANCE.S(
  INDEX($X$4:$AQ$21,,MATCH($W48,$X$3:$AQ$3,0)),
  INDEX($X$4:$AQ$21,,MATCH(BJ$3,$X$3:$AQ$3,0))
)</f>
        <v>4.0209596285049082E-5</v>
      </c>
      <c r="AO48" s="21">
        <f ca="1">_xlfn.COVARIANCE.S(
  INDEX($X$4:$AQ$21,,MATCH($W48,$X$3:$AQ$3,0)),
  INDEX($X$4:$AQ$21,,MATCH(BK$3,$X$3:$AQ$3,0))
)</f>
        <v>1.315386416760036E-3</v>
      </c>
      <c r="AP48" s="21">
        <f ca="1">_xlfn.COVARIANCE.S(
  INDEX($X$4:$AQ$21,,MATCH($W48,$X$3:$AQ$3,0)),
  INDEX($X$4:$AQ$21,,MATCH(BL$3,$X$3:$AQ$3,0))
)</f>
        <v>2.32930126517965E-5</v>
      </c>
      <c r="AQ48" s="22">
        <f ca="1">_xlfn.COVARIANCE.S(
  INDEX($X$4:$AQ$21,,MATCH($W48,$X$3:$AQ$3,0)),
  INDEX($X$4:$AQ$21,,MATCH(BM$3,$X$3:$AQ$3,0))
)</f>
        <v>2.3816441425419198E-4</v>
      </c>
    </row>
    <row r="49" spans="23:43" hidden="1" x14ac:dyDescent="0.3">
      <c r="W49" s="31" t="s">
        <v>40</v>
      </c>
      <c r="X49" s="21">
        <f ca="1">_xlfn.COVARIANCE.S(
  INDEX($X$4:$AQ$21,,MATCH($W49,$X$3:$AQ$3,0)),
  INDEX($X$4:$AQ$21,,MATCH(AT$3,$X$3:$AQ$3,0))
)</f>
        <v>-5.1014486984780168E-5</v>
      </c>
      <c r="Y49" s="21">
        <f ca="1">_xlfn.COVARIANCE.S(
  INDEX($X$4:$AQ$21,,MATCH($W49,$X$3:$AQ$3,0)),
  INDEX($X$4:$AQ$21,,MATCH(AU$3,$X$3:$AQ$3,0))
)</f>
        <v>-9.3471319285790932E-6</v>
      </c>
      <c r="Z49" s="21">
        <f ca="1">_xlfn.COVARIANCE.S(
  INDEX($X$4:$AQ$21,,MATCH($W49,$X$3:$AQ$3,0)),
  INDEX($X$4:$AQ$21,,MATCH(AV$3,$X$3:$AQ$3,0))
)</f>
        <v>4.7596482043833638E-5</v>
      </c>
      <c r="AA49" s="21">
        <f ca="1">_xlfn.COVARIANCE.S(
  INDEX($X$4:$AQ$21,,MATCH($W49,$X$3:$AQ$3,0)),
  INDEX($X$4:$AQ$21,,MATCH(AW$3,$X$3:$AQ$3,0))
)</f>
        <v>6.6803114713836111E-6</v>
      </c>
      <c r="AB49" s="21">
        <f ca="1">_xlfn.COVARIANCE.S(
  INDEX($X$4:$AQ$21,,MATCH($W49,$X$3:$AQ$3,0)),
  INDEX($X$4:$AQ$21,,MATCH(AX$3,$X$3:$AQ$3,0))
)</f>
        <v>-2.4741390423258365E-5</v>
      </c>
      <c r="AC49" s="21">
        <f ca="1">_xlfn.COVARIANCE.S(
  INDEX($X$4:$AQ$21,,MATCH($W49,$X$3:$AQ$3,0)),
  INDEX($X$4:$AQ$21,,MATCH(AY$3,$X$3:$AQ$3,0))
)</f>
        <v>-2.5196575339559381E-5</v>
      </c>
      <c r="AD49" s="21">
        <f ca="1">_xlfn.COVARIANCE.S(
  INDEX($X$4:$AQ$21,,MATCH($W49,$X$3:$AQ$3,0)),
  INDEX($X$4:$AQ$21,,MATCH(AZ$3,$X$3:$AQ$3,0))
)</f>
        <v>7.5690202251830398E-5</v>
      </c>
      <c r="AE49" s="21">
        <f ca="1">_xlfn.COVARIANCE.S(
  INDEX($X$4:$AQ$21,,MATCH($W49,$X$3:$AQ$3,0)),
  INDEX($X$4:$AQ$21,,MATCH(BA$3,$X$3:$AQ$3,0))
)</f>
        <v>-1.4731597737515923E-4</v>
      </c>
      <c r="AF49" s="21">
        <f ca="1">_xlfn.COVARIANCE.S(
  INDEX($X$4:$AQ$21,,MATCH($W49,$X$3:$AQ$3,0)),
  INDEX($X$4:$AQ$21,,MATCH(BB$3,$X$3:$AQ$3,0))
)</f>
        <v>1.3494894430219322E-5</v>
      </c>
      <c r="AG49" s="21">
        <f ca="1">_xlfn.COVARIANCE.S(
  INDEX($X$4:$AQ$21,,MATCH($W49,$X$3:$AQ$3,0)),
  INDEX($X$4:$AQ$21,,MATCH(BC$3,$X$3:$AQ$3,0))
)</f>
        <v>-8.4973358145162359E-5</v>
      </c>
      <c r="AH49" s="21">
        <f ca="1">_xlfn.COVARIANCE.S(
  INDEX($X$4:$AQ$21,,MATCH($W49,$X$3:$AQ$3,0)),
  INDEX($X$4:$AQ$21,,MATCH(BD$3,$X$3:$AQ$3,0))
)</f>
        <v>-1.4376319905387019E-4</v>
      </c>
      <c r="AI49" s="21">
        <f ca="1">_xlfn.COVARIANCE.S(
  INDEX($X$4:$AQ$21,,MATCH($W49,$X$3:$AQ$3,0)),
  INDEX($X$4:$AQ$21,,MATCH(BE$3,$X$3:$AQ$3,0))
)</f>
        <v>1.4489221361221221E-4</v>
      </c>
      <c r="AJ49" s="21">
        <f ca="1">_xlfn.COVARIANCE.S(
  INDEX($X$4:$AQ$21,,MATCH($W49,$X$3:$AQ$3,0)),
  INDEX($X$4:$AQ$21,,MATCH(BF$3,$X$3:$AQ$3,0))
)</f>
        <v>4.5320560377301379E-5</v>
      </c>
      <c r="AK49" s="21">
        <f ca="1">_xlfn.COVARIANCE.S(
  INDEX($X$4:$AQ$21,,MATCH($W49,$X$3:$AQ$3,0)),
  INDEX($X$4:$AQ$21,,MATCH(BG$3,$X$3:$AQ$3,0))
)</f>
        <v>-1.3870258271325562E-4</v>
      </c>
      <c r="AL49" s="21">
        <f ca="1">_xlfn.COVARIANCE.S(
  INDEX($X$4:$AQ$21,,MATCH($W49,$X$3:$AQ$3,0)),
  INDEX($X$4:$AQ$21,,MATCH(BH$3,$X$3:$AQ$3,0))
)</f>
        <v>-2.5909843585559156E-4</v>
      </c>
      <c r="AM49" s="21">
        <f ca="1">_xlfn.COVARIANCE.S(
  INDEX($X$4:$AQ$21,,MATCH($W49,$X$3:$AQ$3,0)),
  INDEX($X$4:$AQ$21,,MATCH(BI$3,$X$3:$AQ$3,0))
)</f>
        <v>-6.0002938309256972E-5</v>
      </c>
      <c r="AN49" s="21">
        <f ca="1">_xlfn.COVARIANCE.S(
  INDEX($X$4:$AQ$21,,MATCH($W49,$X$3:$AQ$3,0)),
  INDEX($X$4:$AQ$21,,MATCH(BJ$3,$X$3:$AQ$3,0))
)</f>
        <v>-3.2810850305171149E-5</v>
      </c>
      <c r="AO49" s="21">
        <f ca="1">_xlfn.COVARIANCE.S(
  INDEX($X$4:$AQ$21,,MATCH($W49,$X$3:$AQ$3,0)),
  INDEX($X$4:$AQ$21,,MATCH(BK$3,$X$3:$AQ$3,0))
)</f>
        <v>2.32930126517965E-5</v>
      </c>
      <c r="AP49" s="21">
        <f ca="1">_xlfn.COVARIANCE.S(
  INDEX($X$4:$AQ$21,,MATCH($W49,$X$3:$AQ$3,0)),
  INDEX($X$4:$AQ$21,,MATCH(BL$3,$X$3:$AQ$3,0))
)</f>
        <v>1.6746122554360087E-4</v>
      </c>
      <c r="AQ49" s="22">
        <f ca="1">_xlfn.COVARIANCE.S(
  INDEX($X$4:$AQ$21,,MATCH($W49,$X$3:$AQ$3,0)),
  INDEX($X$4:$AQ$21,,MATCH(BM$3,$X$3:$AQ$3,0))
)</f>
        <v>-7.4044184666029617E-5</v>
      </c>
    </row>
    <row r="50" spans="23:43" ht="15" hidden="1" thickBot="1" x14ac:dyDescent="0.35">
      <c r="W50" s="32" t="s">
        <v>42</v>
      </c>
      <c r="X50" s="23">
        <f ca="1">_xlfn.COVARIANCE.S(
  INDEX($X$4:$AQ$21,,MATCH($W50,$X$3:$AQ$3,0)),
  INDEX($X$4:$AQ$21,,MATCH(AT$3,$X$3:$AQ$3,0))
)</f>
        <v>9.0587477100602642E-5</v>
      </c>
      <c r="Y50" s="23">
        <f ca="1">_xlfn.COVARIANCE.S(
  INDEX($X$4:$AQ$21,,MATCH($W50,$X$3:$AQ$3,0)),
  INDEX($X$4:$AQ$21,,MATCH(AU$3,$X$3:$AQ$3,0))
)</f>
        <v>6.8852628627868331E-5</v>
      </c>
      <c r="Z50" s="23">
        <f ca="1">_xlfn.COVARIANCE.S(
  INDEX($X$4:$AQ$21,,MATCH($W50,$X$3:$AQ$3,0)),
  INDEX($X$4:$AQ$21,,MATCH(AV$3,$X$3:$AQ$3,0))
)</f>
        <v>-2.3704188759172167E-5</v>
      </c>
      <c r="AA50" s="23">
        <f ca="1">_xlfn.COVARIANCE.S(
  INDEX($X$4:$AQ$21,,MATCH($W50,$X$3:$AQ$3,0)),
  INDEX($X$4:$AQ$21,,MATCH(AW$3,$X$3:$AQ$3,0))
)</f>
        <v>1.8433474969005231E-4</v>
      </c>
      <c r="AB50" s="23">
        <f ca="1">_xlfn.COVARIANCE.S(
  INDEX($X$4:$AQ$21,,MATCH($W50,$X$3:$AQ$3,0)),
  INDEX($X$4:$AQ$21,,MATCH(AX$3,$X$3:$AQ$3,0))
)</f>
        <v>1.4742288475815462E-4</v>
      </c>
      <c r="AC50" s="23">
        <f ca="1">_xlfn.COVARIANCE.S(
  INDEX($X$4:$AQ$21,,MATCH($W50,$X$3:$AQ$3,0)),
  INDEX($X$4:$AQ$21,,MATCH(AY$3,$X$3:$AQ$3,0))
)</f>
        <v>1.518546449212102E-4</v>
      </c>
      <c r="AD50" s="23">
        <f ca="1">_xlfn.COVARIANCE.S(
  INDEX($X$4:$AQ$21,,MATCH($W50,$X$3:$AQ$3,0)),
  INDEX($X$4:$AQ$21,,MATCH(AZ$3,$X$3:$AQ$3,0))
)</f>
        <v>3.0258152292426273E-5</v>
      </c>
      <c r="AE50" s="23">
        <f ca="1">_xlfn.COVARIANCE.S(
  INDEX($X$4:$AQ$21,,MATCH($W50,$X$3:$AQ$3,0)),
  INDEX($X$4:$AQ$21,,MATCH(BA$3,$X$3:$AQ$3,0))
)</f>
        <v>2.4912684332649724E-4</v>
      </c>
      <c r="AF50" s="23">
        <f ca="1">_xlfn.COVARIANCE.S(
  INDEX($X$4:$AQ$21,,MATCH($W50,$X$3:$AQ$3,0)),
  INDEX($X$4:$AQ$21,,MATCH(BB$3,$X$3:$AQ$3,0))
)</f>
        <v>2.3939111427194736E-4</v>
      </c>
      <c r="AG50" s="23">
        <f ca="1">_xlfn.COVARIANCE.S(
  INDEX($X$4:$AQ$21,,MATCH($W50,$X$3:$AQ$3,0)),
  INDEX($X$4:$AQ$21,,MATCH(BC$3,$X$3:$AQ$3,0))
)</f>
        <v>4.2320488732159228E-4</v>
      </c>
      <c r="AH50" s="23">
        <f ca="1">_xlfn.COVARIANCE.S(
  INDEX($X$4:$AQ$21,,MATCH($W50,$X$3:$AQ$3,0)),
  INDEX($X$4:$AQ$21,,MATCH(BD$3,$X$3:$AQ$3,0))
)</f>
        <v>-4.4815235296604917E-5</v>
      </c>
      <c r="AI50" s="23">
        <f ca="1">_xlfn.COVARIANCE.S(
  INDEX($X$4:$AQ$21,,MATCH($W50,$X$3:$AQ$3,0)),
  INDEX($X$4:$AQ$21,,MATCH(BE$3,$X$3:$AQ$3,0))
)</f>
        <v>-4.7977386733193204E-5</v>
      </c>
      <c r="AJ50" s="23">
        <f ca="1">_xlfn.COVARIANCE.S(
  INDEX($X$4:$AQ$21,,MATCH($W50,$X$3:$AQ$3,0)),
  INDEX($X$4:$AQ$21,,MATCH(BF$3,$X$3:$AQ$3,0))
)</f>
        <v>-3.4610977704543831E-6</v>
      </c>
      <c r="AK50" s="23">
        <f ca="1">_xlfn.COVARIANCE.S(
  INDEX($X$4:$AQ$21,,MATCH($W50,$X$3:$AQ$3,0)),
  INDEX($X$4:$AQ$21,,MATCH(BG$3,$X$3:$AQ$3,0))
)</f>
        <v>8.7120306950569474E-5</v>
      </c>
      <c r="AL50" s="23">
        <f ca="1">_xlfn.COVARIANCE.S(
  INDEX($X$4:$AQ$21,,MATCH($W50,$X$3:$AQ$3,0)),
  INDEX($X$4:$AQ$21,,MATCH(BH$3,$X$3:$AQ$3,0))
)</f>
        <v>2.829247499094936E-4</v>
      </c>
      <c r="AM50" s="23">
        <f ca="1">_xlfn.COVARIANCE.S(
  INDEX($X$4:$AQ$21,,MATCH($W50,$X$3:$AQ$3,0)),
  INDEX($X$4:$AQ$21,,MATCH(BI$3,$X$3:$AQ$3,0))
)</f>
        <v>1.0647168627182504E-4</v>
      </c>
      <c r="AN50" s="23">
        <f ca="1">_xlfn.COVARIANCE.S(
  INDEX($X$4:$AQ$21,,MATCH($W50,$X$3:$AQ$3,0)),
  INDEX($X$4:$AQ$21,,MATCH(BJ$3,$X$3:$AQ$3,0))
)</f>
        <v>7.267467194402412E-5</v>
      </c>
      <c r="AO50" s="23">
        <f ca="1">_xlfn.COVARIANCE.S(
  INDEX($X$4:$AQ$21,,MATCH($W50,$X$3:$AQ$3,0)),
  INDEX($X$4:$AQ$21,,MATCH(BK$3,$X$3:$AQ$3,0))
)</f>
        <v>2.3816441425419198E-4</v>
      </c>
      <c r="AP50" s="23">
        <f ca="1">_xlfn.COVARIANCE.S(
  INDEX($X$4:$AQ$21,,MATCH($W50,$X$3:$AQ$3,0)),
  INDEX($X$4:$AQ$21,,MATCH(BL$3,$X$3:$AQ$3,0))
)</f>
        <v>-7.4044184666029617E-5</v>
      </c>
      <c r="AQ50" s="24">
        <f ca="1">_xlfn.COVARIANCE.S(
  INDEX($X$4:$AQ$21,,MATCH($W50,$X$3:$AQ$3,0)),
  INDEX($X$4:$AQ$21,,MATCH(BM$3,$X$3:$AQ$3,0))
)</f>
        <v>4.5941106496916661E-4</v>
      </c>
    </row>
    <row r="51" spans="23:43" ht="15" thickBot="1" x14ac:dyDescent="0.35"/>
    <row r="52" spans="23:43" ht="15" thickBot="1" x14ac:dyDescent="0.35">
      <c r="W52" s="45" t="s">
        <v>73</v>
      </c>
      <c r="X52" s="15" t="s">
        <v>10</v>
      </c>
      <c r="Y52" s="15" t="s">
        <v>6</v>
      </c>
      <c r="Z52" s="15" t="s">
        <v>13</v>
      </c>
      <c r="AA52" s="15" t="s">
        <v>5</v>
      </c>
      <c r="AB52" s="15" t="s">
        <v>3</v>
      </c>
      <c r="AC52" s="15" t="s">
        <v>4</v>
      </c>
      <c r="AD52" s="15" t="s">
        <v>18</v>
      </c>
      <c r="AE52" s="15" t="s">
        <v>7</v>
      </c>
      <c r="AF52" s="15" t="s">
        <v>21</v>
      </c>
      <c r="AG52" s="15" t="s">
        <v>23</v>
      </c>
      <c r="AH52" s="15" t="s">
        <v>25</v>
      </c>
      <c r="AI52" s="15" t="s">
        <v>27</v>
      </c>
      <c r="AJ52" s="15" t="s">
        <v>29</v>
      </c>
      <c r="AK52" s="15" t="s">
        <v>2</v>
      </c>
      <c r="AL52" s="15" t="s">
        <v>32</v>
      </c>
      <c r="AM52" s="15" t="s">
        <v>34</v>
      </c>
      <c r="AN52" s="15" t="s">
        <v>36</v>
      </c>
      <c r="AO52" s="15" t="s">
        <v>38</v>
      </c>
      <c r="AP52" s="15" t="s">
        <v>40</v>
      </c>
      <c r="AQ52" s="16" t="s">
        <v>42</v>
      </c>
    </row>
    <row r="53" spans="23:43" ht="15" thickBot="1" x14ac:dyDescent="0.35">
      <c r="W53" s="44" t="s">
        <v>74</v>
      </c>
      <c r="X53" s="43">
        <v>0.23000000000000032</v>
      </c>
      <c r="Y53" s="43">
        <v>1.0000000000000002E-2</v>
      </c>
      <c r="Z53" s="43">
        <v>0.01</v>
      </c>
      <c r="AA53" s="43">
        <v>0.01</v>
      </c>
      <c r="AB53" s="43">
        <v>0.01</v>
      </c>
      <c r="AC53" s="43">
        <v>0.01</v>
      </c>
      <c r="AD53" s="43">
        <v>0.01</v>
      </c>
      <c r="AE53" s="43">
        <v>0.01</v>
      </c>
      <c r="AF53" s="43">
        <v>1.0000000000000002E-2</v>
      </c>
      <c r="AG53" s="43">
        <v>0.01</v>
      </c>
      <c r="AH53" s="43">
        <v>0.3</v>
      </c>
      <c r="AI53" s="43">
        <v>0.01</v>
      </c>
      <c r="AJ53" s="43">
        <v>0.01</v>
      </c>
      <c r="AK53" s="43">
        <v>0.01</v>
      </c>
      <c r="AL53" s="43">
        <v>0.3</v>
      </c>
      <c r="AM53" s="43">
        <v>0.01</v>
      </c>
      <c r="AN53" s="43">
        <v>0.01</v>
      </c>
      <c r="AO53" s="43">
        <v>0.01</v>
      </c>
      <c r="AP53" s="43">
        <v>9.999999999999995E-3</v>
      </c>
      <c r="AQ53" s="41">
        <v>0.01</v>
      </c>
    </row>
    <row r="54" spans="23:43" x14ac:dyDescent="0.3">
      <c r="W54" s="35" t="s">
        <v>80</v>
      </c>
      <c r="X54" s="48">
        <f>30/100</f>
        <v>0.3</v>
      </c>
      <c r="Y54" s="48">
        <f t="shared" ref="Y54:AQ54" si="3">30/100</f>
        <v>0.3</v>
      </c>
      <c r="Z54" s="48">
        <f t="shared" si="3"/>
        <v>0.3</v>
      </c>
      <c r="AA54" s="48">
        <f t="shared" si="3"/>
        <v>0.3</v>
      </c>
      <c r="AB54" s="48">
        <f t="shared" si="3"/>
        <v>0.3</v>
      </c>
      <c r="AC54" s="48">
        <f t="shared" si="3"/>
        <v>0.3</v>
      </c>
      <c r="AD54" s="48">
        <f t="shared" si="3"/>
        <v>0.3</v>
      </c>
      <c r="AE54" s="48">
        <f t="shared" si="3"/>
        <v>0.3</v>
      </c>
      <c r="AF54" s="48">
        <f t="shared" si="3"/>
        <v>0.3</v>
      </c>
      <c r="AG54" s="48">
        <f t="shared" si="3"/>
        <v>0.3</v>
      </c>
      <c r="AH54" s="48">
        <f t="shared" si="3"/>
        <v>0.3</v>
      </c>
      <c r="AI54" s="48">
        <f t="shared" si="3"/>
        <v>0.3</v>
      </c>
      <c r="AJ54" s="48">
        <f t="shared" si="3"/>
        <v>0.3</v>
      </c>
      <c r="AK54" s="48">
        <f t="shared" si="3"/>
        <v>0.3</v>
      </c>
      <c r="AL54" s="48">
        <f t="shared" si="3"/>
        <v>0.3</v>
      </c>
      <c r="AM54" s="48">
        <f t="shared" si="3"/>
        <v>0.3</v>
      </c>
      <c r="AN54" s="48">
        <f t="shared" si="3"/>
        <v>0.3</v>
      </c>
      <c r="AO54" s="48">
        <f t="shared" si="3"/>
        <v>0.3</v>
      </c>
      <c r="AP54" s="48">
        <f t="shared" si="3"/>
        <v>0.3</v>
      </c>
      <c r="AQ54" s="49">
        <f t="shared" si="3"/>
        <v>0.3</v>
      </c>
    </row>
    <row r="55" spans="23:43" ht="15" thickBot="1" x14ac:dyDescent="0.35">
      <c r="W55" s="36" t="s">
        <v>81</v>
      </c>
      <c r="X55" s="37">
        <v>0.01</v>
      </c>
      <c r="Y55" s="37">
        <v>0.01</v>
      </c>
      <c r="Z55" s="37">
        <v>0.01</v>
      </c>
      <c r="AA55" s="37">
        <v>0.01</v>
      </c>
      <c r="AB55" s="37">
        <v>0.01</v>
      </c>
      <c r="AC55" s="37">
        <v>0.01</v>
      </c>
      <c r="AD55" s="37">
        <v>0.01</v>
      </c>
      <c r="AE55" s="37">
        <v>0.01</v>
      </c>
      <c r="AF55" s="37">
        <v>0.01</v>
      </c>
      <c r="AG55" s="37">
        <v>0.01</v>
      </c>
      <c r="AH55" s="37">
        <v>0.01</v>
      </c>
      <c r="AI55" s="37">
        <v>0.01</v>
      </c>
      <c r="AJ55" s="37">
        <v>0.01</v>
      </c>
      <c r="AK55" s="37">
        <v>0.01</v>
      </c>
      <c r="AL55" s="37">
        <v>0.01</v>
      </c>
      <c r="AM55" s="37">
        <v>0.01</v>
      </c>
      <c r="AN55" s="37">
        <v>0.01</v>
      </c>
      <c r="AO55" s="37">
        <v>0.01</v>
      </c>
      <c r="AP55" s="37">
        <v>0.01</v>
      </c>
      <c r="AQ55" s="38">
        <v>0.01</v>
      </c>
    </row>
    <row r="56" spans="23:43" ht="15" thickBot="1" x14ac:dyDescent="0.35"/>
    <row r="57" spans="23:43" x14ac:dyDescent="0.3">
      <c r="W57" s="46" t="s">
        <v>75</v>
      </c>
      <c r="X57" s="47"/>
    </row>
    <row r="58" spans="23:43" x14ac:dyDescent="0.3">
      <c r="W58" s="26" t="s">
        <v>76</v>
      </c>
      <c r="X58" s="39">
        <f ca="1">SUMPRODUCT(X53:AQ53,X24:AQ24)</f>
        <v>6.9106341258430043E-2</v>
      </c>
    </row>
    <row r="59" spans="23:43" x14ac:dyDescent="0.3">
      <c r="W59" s="26" t="s">
        <v>77</v>
      </c>
      <c r="X59" s="40" cm="1">
        <f t="array" aca="1" ref="X59" ca="1">SQRT(MMULT(MMULT(X53:AQ53,X31:AQ50),TRANSPOSE(X53:AQ53)))*SQRT(12)</f>
        <v>8.5748821348420462E-2</v>
      </c>
    </row>
    <row r="60" spans="23:43" x14ac:dyDescent="0.3">
      <c r="W60" s="26" t="s">
        <v>78</v>
      </c>
      <c r="X60" s="41">
        <f>SUM(X53:AQ53)</f>
        <v>1.0000000000000004</v>
      </c>
    </row>
    <row r="61" spans="23:43" ht="15" thickBot="1" x14ac:dyDescent="0.35">
      <c r="W61" s="28" t="s">
        <v>79</v>
      </c>
      <c r="X61" s="42">
        <f ca="1">X58/X59</f>
        <v>0.80591593180776722</v>
      </c>
    </row>
  </sheetData>
  <mergeCells count="1">
    <mergeCell ref="W57:X57"/>
  </mergeCells>
  <conditionalFormatting sqref="X4:X2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2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4:Z2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4:AA2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4:AB2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4:AC2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2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4:AE2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4:AF2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4:AG2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4:AH2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2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2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4:AK2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4:AL2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4:AM2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2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2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4:AP21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4:AQ2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4:AQ2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5:AQ25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7:AQ29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4:BM2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6:AQ2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1:AQ5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53:AQ5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3" r:id="rId1" display="https://www.slickcharts.com/symbol/NVDA" xr:uid="{D15C7ADB-AB7A-42B3-B6BE-F99B9B2D6617}"/>
    <hyperlink ref="C3" r:id="rId2" display="https://www.slickcharts.com/symbol/AAPL" xr:uid="{8AE12CFD-D55C-433B-A9DF-30250034DDAA}"/>
    <hyperlink ref="D3" r:id="rId3" display="https://www.slickcharts.com/symbol/MSFT" xr:uid="{322261D2-4376-4838-9358-8B3F8FA6C964}"/>
    <hyperlink ref="E3" r:id="rId4" display="https://www.slickcharts.com/symbol/AMZN" xr:uid="{42991E8C-A49D-43D8-995D-44A9C639507C}"/>
    <hyperlink ref="F3" r:id="rId5" display="https://www.slickcharts.com/symbol/GOOGL" xr:uid="{3F23AE72-C0BB-43E7-9241-EC13F8D10793}"/>
    <hyperlink ref="G3" r:id="rId6" display="https://www.slickcharts.com/symbol/GOOG" xr:uid="{62B565CF-1339-4711-BD63-14B8FEC2A746}"/>
    <hyperlink ref="H3" r:id="rId7" display="https://www.slickcharts.com/symbol/META" xr:uid="{290CDDE7-500F-4F6F-9290-16364A61060B}"/>
    <hyperlink ref="I3" r:id="rId8" display="https://www.slickcharts.com/symbol/AVGO" xr:uid="{281655A2-B1F7-44CD-A78F-147A0844D232}"/>
    <hyperlink ref="J3" r:id="rId9" display="https://www.slickcharts.com/symbol/TSLA" xr:uid="{451B1DBC-FFE1-4059-A066-CABB6BABA171}"/>
    <hyperlink ref="K3" r:id="rId10" display="https://www.slickcharts.com/symbol/PLTR" xr:uid="{B66F4E91-E289-4FA5-9F68-F05F72F5583B}"/>
    <hyperlink ref="L3" r:id="rId11" display="https://www.slickcharts.com/symbol/ASML" xr:uid="{8FCC67E1-5A16-4413-AE3B-F804D0495000}"/>
    <hyperlink ref="M3" r:id="rId12" display="https://www.slickcharts.com/symbol/NFLX" xr:uid="{406A2A34-0F04-4770-87C7-CDF2C211AC32}"/>
    <hyperlink ref="N3" r:id="rId13" display="https://www.slickcharts.com/symbol/COST" xr:uid="{A8ACECFC-E299-437A-8FB3-120219CE1D66}"/>
    <hyperlink ref="O3" r:id="rId14" display="https://www.slickcharts.com/symbol/AMD" xr:uid="{8BD193B5-AEF8-455B-AAAE-C04B3952B8E8}"/>
    <hyperlink ref="P3" r:id="rId15" display="https://www.slickcharts.com/symbol/MU" xr:uid="{0C3DB93D-FF3A-4376-BB83-9C1F7A2231C8}"/>
    <hyperlink ref="Q3" r:id="rId16" display="https://www.slickcharts.com/symbol/CSCO" xr:uid="{D6F0CCA6-E677-4E49-9643-127332A39B38}"/>
    <hyperlink ref="R3" r:id="rId17" display="https://www.slickcharts.com/symbol/AZN" xr:uid="{0F616CCA-469A-49EA-A905-6CFD1E0593A8}"/>
    <hyperlink ref="S3" r:id="rId18" display="https://www.slickcharts.com/symbol/APP" xr:uid="{943C4DF8-5EB8-4D82-B4FD-DE10F78CA00D}"/>
    <hyperlink ref="T3" r:id="rId19" display="https://www.slickcharts.com/symbol/TMUS" xr:uid="{C71E7E2E-9DAB-498D-A235-11047C6619DB}"/>
    <hyperlink ref="U3" r:id="rId20" display="https://www.slickcharts.com/symbol/SHOP" xr:uid="{9E87EC6F-0A7E-4A8E-BDDA-32C3C1B97888}"/>
  </hyperlinks>
  <pageMargins left="0.7" right="0.7" top="0.75" bottom="0.75" header="0.3" footer="0.3"/>
  <drawing r:id="rId21"/>
  <legacyDrawing r:id="rId2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23" name="Button 1">
              <controlPr defaultSize="0" print="0" autoFill="0" autoPict="0" macro="[0]!best_risk_reward">
                <anchor moveWithCells="1" sizeWithCells="1">
                  <from>
                    <xdr:col>25</xdr:col>
                    <xdr:colOff>7620</xdr:colOff>
                    <xdr:row>57</xdr:row>
                    <xdr:rowOff>7620</xdr:rowOff>
                  </from>
                  <to>
                    <xdr:col>29</xdr:col>
                    <xdr:colOff>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24" name="Button 2">
              <controlPr defaultSize="0" print="0" autoFill="0" autoPict="0" macro="[0]!lowest_risk">
                <anchor moveWithCells="1" sizeWithCells="1">
                  <from>
                    <xdr:col>30</xdr:col>
                    <xdr:colOff>7620</xdr:colOff>
                    <xdr:row>57</xdr:row>
                    <xdr:rowOff>7620</xdr:rowOff>
                  </from>
                  <to>
                    <xdr:col>34</xdr:col>
                    <xdr:colOff>0</xdr:colOff>
                    <xdr:row>60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25" name="Button 3">
              <controlPr defaultSize="0" print="0" autoFill="0" autoPict="0" macro="[0]!best_expected_returns">
                <anchor moveWithCells="1" sizeWithCells="1">
                  <from>
                    <xdr:col>35</xdr:col>
                    <xdr:colOff>7620</xdr:colOff>
                    <xdr:row>57</xdr:row>
                    <xdr:rowOff>7620</xdr:rowOff>
                  </from>
                  <to>
                    <xdr:col>39</xdr:col>
                    <xdr:colOff>0</xdr:colOff>
                    <xdr:row>60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C8A1B-FF2D-4A23-A8D5-C495F5ADF041}">
  <sheetPr codeName="Sheet3"/>
  <dimension ref="B4:SP29"/>
  <sheetViews>
    <sheetView zoomScale="81" workbookViewId="0">
      <selection activeCell="A24" sqref="A24"/>
    </sheetView>
  </sheetViews>
  <sheetFormatPr defaultRowHeight="14.4" x14ac:dyDescent="0.3"/>
  <cols>
    <col min="2" max="2" width="24.77734375" bestFit="1" customWidth="1"/>
    <col min="3" max="3" width="11" bestFit="1" customWidth="1"/>
    <col min="4" max="4" width="10.109375" bestFit="1" customWidth="1"/>
    <col min="5" max="5" width="10.77734375" bestFit="1" customWidth="1"/>
    <col min="7" max="8" width="10.109375" bestFit="1" customWidth="1"/>
    <col min="9" max="27" width="10" bestFit="1" customWidth="1"/>
  </cols>
  <sheetData>
    <row r="4" spans="2:510" x14ac:dyDescent="0.3">
      <c r="C4" s="2">
        <f ca="1">TODAY()</f>
        <v>46027</v>
      </c>
      <c r="D4" s="2">
        <f ca="1">C4-1</f>
        <v>46026</v>
      </c>
      <c r="G4" s="2">
        <f ca="1">TODAY()</f>
        <v>46027</v>
      </c>
      <c r="H4" s="2">
        <f ca="1">G4-31</f>
        <v>45996</v>
      </c>
    </row>
    <row r="5" spans="2:510" x14ac:dyDescent="0.3">
      <c r="B5" t="s">
        <v>9</v>
      </c>
      <c r="C5" cm="1" vm="1">
        <f t="array" aca="1" ref="C5" ca="1">INDEX(_xlfn.ANCHORARRAY(G5),D5)</f>
        <v>188.85</v>
      </c>
      <c r="D5">
        <f ca="1">COUNT(G5:AT5)</f>
        <v>19</v>
      </c>
      <c r="F5" t="s">
        <v>10</v>
      </c>
      <c r="G5" cm="1" vm="22">
        <f t="array" aca="1" ref="G5:Y5" ca="1">TRANSPOSE(_xlfn.STOCKHISTORY(F5,$H$4,G$4,0,0,1))</f>
        <v>182.41</v>
      </c>
      <c r="H5" vm="43">
        <f ca="1"/>
        <v>185.55</v>
      </c>
      <c r="I5" vm="64">
        <f ca="1"/>
        <v>184.97</v>
      </c>
      <c r="J5" vm="85">
        <f ca="1"/>
        <v>183.78</v>
      </c>
      <c r="K5" vm="105">
        <f ca="1"/>
        <v>180.93</v>
      </c>
      <c r="L5" vm="126">
        <f ca="1"/>
        <v>175.02</v>
      </c>
      <c r="M5" vm="147">
        <f ca="1"/>
        <v>176.29</v>
      </c>
      <c r="N5" vm="168">
        <f ca="1"/>
        <v>177.72</v>
      </c>
      <c r="O5" vm="189">
        <f ca="1"/>
        <v>170.94</v>
      </c>
      <c r="P5" vm="210">
        <f ca="1"/>
        <v>174.14</v>
      </c>
      <c r="Q5" vm="231">
        <f ca="1"/>
        <v>180.99</v>
      </c>
      <c r="R5" vm="252">
        <f ca="1"/>
        <v>183.69</v>
      </c>
      <c r="S5" vm="273">
        <f ca="1"/>
        <v>189.21</v>
      </c>
      <c r="T5" vm="294">
        <f ca="1"/>
        <v>188.61</v>
      </c>
      <c r="U5" vm="314">
        <f ca="1"/>
        <v>190.53</v>
      </c>
      <c r="V5" vm="335">
        <f ca="1"/>
        <v>188.22</v>
      </c>
      <c r="W5" vm="114">
        <f ca="1"/>
        <v>187.54</v>
      </c>
      <c r="X5" vm="376">
        <f ca="1"/>
        <v>186.5</v>
      </c>
      <c r="Y5" vm="1">
        <f ca="1"/>
        <v>188.85</v>
      </c>
      <c r="KB5" t="str">
        <f t="shared" ref="KB5:KB24" si="0">IFERROR(LN(AH5/AG5),"")</f>
        <v/>
      </c>
      <c r="KC5" t="str">
        <f t="shared" ref="KC5:KC24" si="1">IFERROR(LN(AI5/AH5),"")</f>
        <v/>
      </c>
      <c r="KD5" t="str">
        <f t="shared" ref="KD5:KD24" si="2">IFERROR(LN(AJ5/AI5),"")</f>
        <v/>
      </c>
      <c r="KE5" t="str">
        <f t="shared" ref="KE5:KE24" si="3">IFERROR(LN(AK5/AJ5),"")</f>
        <v/>
      </c>
      <c r="KF5" t="str">
        <f t="shared" ref="KF5:KF24" si="4">IFERROR(LN(AL5/AK5),"")</f>
        <v/>
      </c>
      <c r="KG5" t="str">
        <f t="shared" ref="KG5:KG24" si="5">IFERROR(LN(AM5/AL5),"")</f>
        <v/>
      </c>
      <c r="KH5" t="str">
        <f t="shared" ref="KH5:KH24" si="6">IFERROR(LN(AN5/AM5),"")</f>
        <v/>
      </c>
      <c r="KI5" t="str">
        <f t="shared" ref="KI5:KI24" si="7">IFERROR(LN(AO5/AN5),"")</f>
        <v/>
      </c>
      <c r="KJ5" t="str">
        <f t="shared" ref="KJ5:KJ24" si="8">IFERROR(LN(AP5/AO5),"")</f>
        <v/>
      </c>
      <c r="KK5" t="str">
        <f t="shared" ref="KK5:KK24" si="9">IFERROR(LN(AQ5/AP5),"")</f>
        <v/>
      </c>
      <c r="KL5" t="str">
        <f t="shared" ref="KL5:KL24" si="10">IFERROR(LN(AR5/AQ5),"")</f>
        <v/>
      </c>
      <c r="KM5" t="str">
        <f t="shared" ref="KM5:KM24" si="11">IFERROR(LN(AS5/AR5),"")</f>
        <v/>
      </c>
      <c r="KN5" t="str">
        <f t="shared" ref="KN5:KN24" si="12">IFERROR(LN(AT5/AS5),"")</f>
        <v/>
      </c>
      <c r="KO5" t="str">
        <f t="shared" ref="KO5:KO24" si="13">IFERROR(LN(AU5/AT5),"")</f>
        <v/>
      </c>
      <c r="KP5" t="str">
        <f t="shared" ref="KP5:KP24" si="14">IFERROR(LN(AV5/AU5),"")</f>
        <v/>
      </c>
      <c r="KQ5" t="str">
        <f t="shared" ref="KQ5:KQ24" si="15">IFERROR(LN(AW5/AV5),"")</f>
        <v/>
      </c>
      <c r="KR5" t="str">
        <f t="shared" ref="KR5:KR24" si="16">IFERROR(LN(AX5/AW5),"")</f>
        <v/>
      </c>
      <c r="KS5" t="str">
        <f t="shared" ref="KS5:KS24" si="17">IFERROR(LN(AY5/AX5),"")</f>
        <v/>
      </c>
      <c r="KT5" t="str">
        <f t="shared" ref="KT5:KT24" si="18">IFERROR(LN(AZ5/AY5),"")</f>
        <v/>
      </c>
      <c r="KU5" t="str">
        <f t="shared" ref="KU5:KU24" si="19">IFERROR(LN(BA5/AZ5),"")</f>
        <v/>
      </c>
      <c r="KV5" t="str">
        <f t="shared" ref="KV5:KV24" si="20">IFERROR(LN(BB5/BA5),"")</f>
        <v/>
      </c>
      <c r="KW5" t="str">
        <f t="shared" ref="KW5:KW24" si="21">IFERROR(LN(BC5/BB5),"")</f>
        <v/>
      </c>
      <c r="KX5" t="str">
        <f t="shared" ref="KX5:KX24" si="22">IFERROR(LN(BD5/BC5),"")</f>
        <v/>
      </c>
      <c r="KY5" t="str">
        <f t="shared" ref="KY5:KY24" si="23">IFERROR(LN(BE5/BD5),"")</f>
        <v/>
      </c>
      <c r="KZ5" t="str">
        <f t="shared" ref="KZ5:KZ24" si="24">IFERROR(LN(BF5/BE5),"")</f>
        <v/>
      </c>
      <c r="LA5" t="str">
        <f t="shared" ref="LA5:LA24" si="25">IFERROR(LN(BG5/BF5),"")</f>
        <v/>
      </c>
      <c r="LB5" t="str">
        <f t="shared" ref="LB5:LB24" si="26">IFERROR(LN(BH5/BG5),"")</f>
        <v/>
      </c>
      <c r="LC5" t="str">
        <f t="shared" ref="LC5:LC24" si="27">IFERROR(LN(BI5/BH5),"")</f>
        <v/>
      </c>
      <c r="LD5" t="str">
        <f t="shared" ref="LD5:LD24" si="28">IFERROR(LN(BJ5/BI5),"")</f>
        <v/>
      </c>
      <c r="LE5" t="str">
        <f t="shared" ref="LE5:LE24" si="29">IFERROR(LN(BK5/BJ5),"")</f>
        <v/>
      </c>
      <c r="LF5" t="str">
        <f t="shared" ref="LF5:LF24" si="30">IFERROR(LN(BL5/BK5),"")</f>
        <v/>
      </c>
      <c r="LG5" t="str">
        <f t="shared" ref="LG5:LG24" si="31">IFERROR(LN(BM5/BL5),"")</f>
        <v/>
      </c>
      <c r="LH5" t="str">
        <f t="shared" ref="LH5:LH24" si="32">IFERROR(LN(BN5/BM5),"")</f>
        <v/>
      </c>
      <c r="LI5" t="str">
        <f t="shared" ref="LI5:LI24" si="33">IFERROR(LN(BO5/BN5),"")</f>
        <v/>
      </c>
      <c r="LJ5" t="str">
        <f t="shared" ref="LJ5:LJ24" si="34">IFERROR(LN(BP5/BO5),"")</f>
        <v/>
      </c>
      <c r="LK5" t="str">
        <f t="shared" ref="LK5:LK24" si="35">IFERROR(LN(BQ5/BP5),"")</f>
        <v/>
      </c>
      <c r="LL5" t="str">
        <f t="shared" ref="LL5:LL24" si="36">IFERROR(LN(BR5/BQ5),"")</f>
        <v/>
      </c>
      <c r="LM5" t="str">
        <f t="shared" ref="LM5:LM24" si="37">IFERROR(LN(BS5/BR5),"")</f>
        <v/>
      </c>
      <c r="LN5" t="str">
        <f t="shared" ref="LN5:LN24" si="38">IFERROR(LN(BT5/BS5),"")</f>
        <v/>
      </c>
      <c r="LO5" t="str">
        <f t="shared" ref="LO5:LO24" si="39">IFERROR(LN(BU5/BT5),"")</f>
        <v/>
      </c>
      <c r="LP5" t="str">
        <f t="shared" ref="LP5:LP24" si="40">IFERROR(LN(BV5/BU5),"")</f>
        <v/>
      </c>
      <c r="LQ5" t="str">
        <f t="shared" ref="LQ5:LQ24" si="41">IFERROR(LN(BW5/BV5),"")</f>
        <v/>
      </c>
      <c r="LR5" t="str">
        <f t="shared" ref="LR5:LR24" si="42">IFERROR(LN(BX5/BW5),"")</f>
        <v/>
      </c>
      <c r="LS5" t="str">
        <f t="shared" ref="LS5:LS24" si="43">IFERROR(LN(BY5/BX5),"")</f>
        <v/>
      </c>
      <c r="LT5" t="str">
        <f t="shared" ref="LT5:LT24" si="44">IFERROR(LN(BZ5/BY5),"")</f>
        <v/>
      </c>
      <c r="LU5" t="str">
        <f t="shared" ref="LU5:LU24" si="45">IFERROR(LN(CA5/BZ5),"")</f>
        <v/>
      </c>
      <c r="LV5" t="str">
        <f t="shared" ref="LV5:LV24" si="46">IFERROR(LN(CB5/CA5),"")</f>
        <v/>
      </c>
      <c r="LW5" t="str">
        <f t="shared" ref="LW5:LW24" si="47">IFERROR(LN(CC5/CB5),"")</f>
        <v/>
      </c>
      <c r="LX5" t="str">
        <f t="shared" ref="LX5:LX24" si="48">IFERROR(LN(CD5/CC5),"")</f>
        <v/>
      </c>
      <c r="LY5" t="str">
        <f t="shared" ref="LY5:LY24" si="49">IFERROR(LN(CE5/CD5),"")</f>
        <v/>
      </c>
      <c r="LZ5" t="str">
        <f t="shared" ref="LZ5:LZ24" si="50">IFERROR(LN(CF5/CE5),"")</f>
        <v/>
      </c>
      <c r="MA5" t="str">
        <f t="shared" ref="MA5:MA24" si="51">IFERROR(LN(CG5/CF5),"")</f>
        <v/>
      </c>
      <c r="MB5" t="str">
        <f t="shared" ref="MB5:MB24" si="52">IFERROR(LN(CH5/CG5),"")</f>
        <v/>
      </c>
      <c r="MC5" t="str">
        <f t="shared" ref="MC5:MC24" si="53">IFERROR(LN(CI5/CH5),"")</f>
        <v/>
      </c>
      <c r="MD5" t="str">
        <f t="shared" ref="MD5:MD24" si="54">IFERROR(LN(CJ5/CI5),"")</f>
        <v/>
      </c>
      <c r="ME5" t="str">
        <f t="shared" ref="ME5:ME24" si="55">IFERROR(LN(CK5/CJ5),"")</f>
        <v/>
      </c>
      <c r="MF5" t="str">
        <f t="shared" ref="MF5:MF24" si="56">IFERROR(LN(CL5/CK5),"")</f>
        <v/>
      </c>
      <c r="MG5" t="str">
        <f t="shared" ref="MG5:MG24" si="57">IFERROR(LN(CM5/CL5),"")</f>
        <v/>
      </c>
      <c r="MH5" t="str">
        <f t="shared" ref="MH5:MH24" si="58">IFERROR(LN(CN5/CM5),"")</f>
        <v/>
      </c>
      <c r="MI5" t="str">
        <f t="shared" ref="MI5:MI24" si="59">IFERROR(LN(CO5/CN5),"")</f>
        <v/>
      </c>
      <c r="MJ5" t="str">
        <f t="shared" ref="MJ5:MJ24" si="60">IFERROR(LN(CP5/CO5),"")</f>
        <v/>
      </c>
      <c r="MK5" t="str">
        <f t="shared" ref="MK5:MK24" si="61">IFERROR(LN(CQ5/CP5),"")</f>
        <v/>
      </c>
      <c r="ML5" t="str">
        <f t="shared" ref="ML5:ML24" si="62">IFERROR(LN(CR5/CQ5),"")</f>
        <v/>
      </c>
      <c r="MM5" t="str">
        <f t="shared" ref="MM5:MM24" si="63">IFERROR(LN(CS5/CR5),"")</f>
        <v/>
      </c>
      <c r="MN5" t="str">
        <f t="shared" ref="MN5:MN24" si="64">IFERROR(LN(CT5/CS5),"")</f>
        <v/>
      </c>
      <c r="MO5" t="str">
        <f t="shared" ref="MO5:MO24" si="65">IFERROR(LN(CU5/CT5),"")</f>
        <v/>
      </c>
      <c r="MP5" t="str">
        <f t="shared" ref="MP5:MP24" si="66">IFERROR(LN(CV5/CU5),"")</f>
        <v/>
      </c>
      <c r="MQ5" t="str">
        <f t="shared" ref="MQ5:MQ24" si="67">IFERROR(LN(CW5/CV5),"")</f>
        <v/>
      </c>
      <c r="MR5" t="str">
        <f t="shared" ref="MR5:MR24" si="68">IFERROR(LN(CX5/CW5),"")</f>
        <v/>
      </c>
      <c r="MS5" t="str">
        <f t="shared" ref="MS5:MS24" si="69">IFERROR(LN(CY5/CX5),"")</f>
        <v/>
      </c>
      <c r="MT5" t="str">
        <f t="shared" ref="MT5:MT24" si="70">IFERROR(LN(CZ5/CY5),"")</f>
        <v/>
      </c>
      <c r="MU5" t="str">
        <f t="shared" ref="MU5:MU24" si="71">IFERROR(LN(DA5/CZ5),"")</f>
        <v/>
      </c>
      <c r="MV5" t="str">
        <f t="shared" ref="MV5:MV24" si="72">IFERROR(LN(DB5/DA5),"")</f>
        <v/>
      </c>
      <c r="MW5" t="str">
        <f t="shared" ref="MW5:MW24" si="73">IFERROR(LN(DC5/DB5),"")</f>
        <v/>
      </c>
      <c r="MX5" t="str">
        <f t="shared" ref="MX5:MX24" si="74">IFERROR(LN(DD5/DC5),"")</f>
        <v/>
      </c>
      <c r="MY5" t="str">
        <f t="shared" ref="MY5:MY24" si="75">IFERROR(LN(DE5/DD5),"")</f>
        <v/>
      </c>
      <c r="MZ5" t="str">
        <f t="shared" ref="MZ5:MZ24" si="76">IFERROR(LN(DF5/DE5),"")</f>
        <v/>
      </c>
      <c r="NA5" t="str">
        <f t="shared" ref="NA5:NA24" si="77">IFERROR(LN(DG5/DF5),"")</f>
        <v/>
      </c>
      <c r="NB5" t="str">
        <f t="shared" ref="NB5:NB24" si="78">IFERROR(LN(DH5/DG5),"")</f>
        <v/>
      </c>
      <c r="NC5" t="str">
        <f t="shared" ref="NC5:NC24" si="79">IFERROR(LN(DI5/DH5),"")</f>
        <v/>
      </c>
      <c r="ND5" t="str">
        <f t="shared" ref="ND5:ND24" si="80">IFERROR(LN(DJ5/DI5),"")</f>
        <v/>
      </c>
      <c r="NE5" t="str">
        <f t="shared" ref="NE5:NE24" si="81">IFERROR(LN(DK5/DJ5),"")</f>
        <v/>
      </c>
      <c r="NF5" t="str">
        <f t="shared" ref="NF5:NF24" si="82">IFERROR(LN(DL5/DK5),"")</f>
        <v/>
      </c>
      <c r="NG5" t="str">
        <f t="shared" ref="NG5:NG24" si="83">IFERROR(LN(DM5/DL5),"")</f>
        <v/>
      </c>
      <c r="NH5" t="str">
        <f t="shared" ref="NH5:NH24" si="84">IFERROR(LN(DN5/DM5),"")</f>
        <v/>
      </c>
      <c r="NI5" t="str">
        <f t="shared" ref="NI5:NI24" si="85">IFERROR(LN(DO5/DN5),"")</f>
        <v/>
      </c>
      <c r="NJ5" t="str">
        <f t="shared" ref="NJ5:NJ24" si="86">IFERROR(LN(DP5/DO5),"")</f>
        <v/>
      </c>
      <c r="NK5" t="str">
        <f t="shared" ref="NK5:NK24" si="87">IFERROR(LN(DQ5/DP5),"")</f>
        <v/>
      </c>
      <c r="NL5" t="str">
        <f t="shared" ref="NL5:NL24" si="88">IFERROR(LN(DR5/DQ5),"")</f>
        <v/>
      </c>
      <c r="NM5" t="str">
        <f t="shared" ref="NM5:NM24" si="89">IFERROR(LN(DS5/DR5),"")</f>
        <v/>
      </c>
      <c r="NN5" t="str">
        <f t="shared" ref="NN5:NN24" si="90">IFERROR(LN(DT5/DS5),"")</f>
        <v/>
      </c>
      <c r="NO5" t="str">
        <f t="shared" ref="NO5:NO24" si="91">IFERROR(LN(DU5/DT5),"")</f>
        <v/>
      </c>
      <c r="NP5" t="str">
        <f t="shared" ref="NP5:NP24" si="92">IFERROR(LN(DV5/DU5),"")</f>
        <v/>
      </c>
      <c r="NQ5" t="str">
        <f t="shared" ref="NQ5:NQ24" si="93">IFERROR(LN(DW5/DV5),"")</f>
        <v/>
      </c>
      <c r="NR5" t="str">
        <f t="shared" ref="NR5:NR24" si="94">IFERROR(LN(DX5/DW5),"")</f>
        <v/>
      </c>
      <c r="NS5" t="str">
        <f t="shared" ref="NS5:NS24" si="95">IFERROR(LN(DY5/DX5),"")</f>
        <v/>
      </c>
      <c r="NT5" t="str">
        <f t="shared" ref="NT5:NT24" si="96">IFERROR(LN(DZ5/DY5),"")</f>
        <v/>
      </c>
      <c r="NU5" t="str">
        <f t="shared" ref="NU5:NU24" si="97">IFERROR(LN(EA5/DZ5),"")</f>
        <v/>
      </c>
      <c r="NV5" t="str">
        <f t="shared" ref="NV5:NV24" si="98">IFERROR(LN(EB5/EA5),"")</f>
        <v/>
      </c>
      <c r="NW5" t="str">
        <f t="shared" ref="NW5:NW24" si="99">IFERROR(LN(EC5/EB5),"")</f>
        <v/>
      </c>
      <c r="NX5" t="str">
        <f t="shared" ref="NX5:NX24" si="100">IFERROR(LN(ED5/EC5),"")</f>
        <v/>
      </c>
      <c r="NY5" t="str">
        <f t="shared" ref="NY5:NY24" si="101">IFERROR(LN(EE5/ED5),"")</f>
        <v/>
      </c>
      <c r="NZ5" t="str">
        <f t="shared" ref="NZ5:NZ24" si="102">IFERROR(LN(EF5/EE5),"")</f>
        <v/>
      </c>
      <c r="OA5" t="str">
        <f t="shared" ref="OA5:OA24" si="103">IFERROR(LN(EG5/EF5),"")</f>
        <v/>
      </c>
      <c r="OB5" t="str">
        <f t="shared" ref="OB5:OB24" si="104">IFERROR(LN(EH5/EG5),"")</f>
        <v/>
      </c>
      <c r="OC5" t="str">
        <f t="shared" ref="OC5:OC24" si="105">IFERROR(LN(EI5/EH5),"")</f>
        <v/>
      </c>
      <c r="OD5" t="str">
        <f t="shared" ref="OD5:OD24" si="106">IFERROR(LN(EJ5/EI5),"")</f>
        <v/>
      </c>
      <c r="OE5" t="str">
        <f t="shared" ref="OE5:OE24" si="107">IFERROR(LN(EK5/EJ5),"")</f>
        <v/>
      </c>
      <c r="OF5" t="str">
        <f t="shared" ref="OF5:OF24" si="108">IFERROR(LN(EL5/EK5),"")</f>
        <v/>
      </c>
      <c r="OG5" t="str">
        <f t="shared" ref="OG5:OG24" si="109">IFERROR(LN(EM5/EL5),"")</f>
        <v/>
      </c>
      <c r="OH5" t="str">
        <f t="shared" ref="OH5:OH24" si="110">IFERROR(LN(EN5/EM5),"")</f>
        <v/>
      </c>
      <c r="OI5" t="str">
        <f t="shared" ref="OI5:OI24" si="111">IFERROR(LN(EO5/EN5),"")</f>
        <v/>
      </c>
      <c r="OJ5" t="str">
        <f t="shared" ref="OJ5:OJ24" si="112">IFERROR(LN(EP5/EO5),"")</f>
        <v/>
      </c>
      <c r="OK5" t="str">
        <f t="shared" ref="OK5:OK24" si="113">IFERROR(LN(EQ5/EP5),"")</f>
        <v/>
      </c>
      <c r="OL5" t="str">
        <f t="shared" ref="OL5:OL24" si="114">IFERROR(LN(ER5/EQ5),"")</f>
        <v/>
      </c>
      <c r="OM5" t="str">
        <f t="shared" ref="OM5:OM24" si="115">IFERROR(LN(ES5/ER5),"")</f>
        <v/>
      </c>
      <c r="ON5" t="str">
        <f t="shared" ref="ON5:ON24" si="116">IFERROR(LN(ET5/ES5),"")</f>
        <v/>
      </c>
      <c r="OO5" t="str">
        <f t="shared" ref="OO5:OO24" si="117">IFERROR(LN(EU5/ET5),"")</f>
        <v/>
      </c>
      <c r="OP5" t="str">
        <f t="shared" ref="OP5:OP24" si="118">IFERROR(LN(EV5/EU5),"")</f>
        <v/>
      </c>
      <c r="OQ5" t="str">
        <f t="shared" ref="OQ5:OQ24" si="119">IFERROR(LN(EW5/EV5),"")</f>
        <v/>
      </c>
      <c r="OR5" t="str">
        <f t="shared" ref="OR5:OR24" si="120">IFERROR(LN(EX5/EW5),"")</f>
        <v/>
      </c>
      <c r="OS5" t="str">
        <f t="shared" ref="OS5:OS24" si="121">IFERROR(LN(EY5/EX5),"")</f>
        <v/>
      </c>
      <c r="OT5" t="str">
        <f t="shared" ref="OT5:OT24" si="122">IFERROR(LN(EZ5/EY5),"")</f>
        <v/>
      </c>
      <c r="OU5" t="str">
        <f t="shared" ref="OU5:OU24" si="123">IFERROR(LN(FA5/EZ5),"")</f>
        <v/>
      </c>
      <c r="OV5" t="str">
        <f t="shared" ref="OV5:OV24" si="124">IFERROR(LN(FB5/FA5),"")</f>
        <v/>
      </c>
      <c r="OW5" t="str">
        <f t="shared" ref="OW5:OW24" si="125">IFERROR(LN(FC5/FB5),"")</f>
        <v/>
      </c>
      <c r="OX5" t="str">
        <f t="shared" ref="OX5:OX24" si="126">IFERROR(LN(FD5/FC5),"")</f>
        <v/>
      </c>
      <c r="OY5" t="str">
        <f t="shared" ref="OY5:OY24" si="127">IFERROR(LN(FE5/FD5),"")</f>
        <v/>
      </c>
      <c r="OZ5" t="str">
        <f t="shared" ref="OZ5:OZ24" si="128">IFERROR(LN(FF5/FE5),"")</f>
        <v/>
      </c>
      <c r="PA5" t="str">
        <f t="shared" ref="PA5:PA24" si="129">IFERROR(LN(FG5/FF5),"")</f>
        <v/>
      </c>
      <c r="PB5" t="str">
        <f t="shared" ref="PB5:PB24" si="130">IFERROR(LN(FH5/FG5),"")</f>
        <v/>
      </c>
      <c r="PC5" t="str">
        <f t="shared" ref="PC5:PC24" si="131">IFERROR(LN(FI5/FH5),"")</f>
        <v/>
      </c>
      <c r="PD5" t="str">
        <f t="shared" ref="PD5:PD24" si="132">IFERROR(LN(FJ5/FI5),"")</f>
        <v/>
      </c>
      <c r="PE5" t="str">
        <f t="shared" ref="PE5:PE24" si="133">IFERROR(LN(FK5/FJ5),"")</f>
        <v/>
      </c>
      <c r="PF5" t="str">
        <f t="shared" ref="PF5:PF24" si="134">IFERROR(LN(FL5/FK5),"")</f>
        <v/>
      </c>
      <c r="PG5" t="str">
        <f t="shared" ref="PG5:PG24" si="135">IFERROR(LN(FM5/FL5),"")</f>
        <v/>
      </c>
      <c r="PH5" t="str">
        <f t="shared" ref="PH5:PH24" si="136">IFERROR(LN(FN5/FM5),"")</f>
        <v/>
      </c>
      <c r="PI5" t="str">
        <f t="shared" ref="PI5:PI24" si="137">IFERROR(LN(FO5/FN5),"")</f>
        <v/>
      </c>
      <c r="PJ5" t="str">
        <f t="shared" ref="PJ5:PJ24" si="138">IFERROR(LN(FP5/FO5),"")</f>
        <v/>
      </c>
      <c r="PK5" t="str">
        <f t="shared" ref="PK5:PK24" si="139">IFERROR(LN(FQ5/FP5),"")</f>
        <v/>
      </c>
      <c r="PL5" t="str">
        <f t="shared" ref="PL5:PL24" si="140">IFERROR(LN(FR5/FQ5),"")</f>
        <v/>
      </c>
      <c r="PM5" t="str">
        <f t="shared" ref="PM5:PM24" si="141">IFERROR(LN(FS5/FR5),"")</f>
        <v/>
      </c>
      <c r="PN5" t="str">
        <f t="shared" ref="PN5:PN24" si="142">IFERROR(LN(FT5/FS5),"")</f>
        <v/>
      </c>
      <c r="PO5" t="str">
        <f t="shared" ref="PO5:PO24" si="143">IFERROR(LN(FU5/FT5),"")</f>
        <v/>
      </c>
      <c r="PP5" t="str">
        <f t="shared" ref="PP5:PP24" si="144">IFERROR(LN(FV5/FU5),"")</f>
        <v/>
      </c>
      <c r="PQ5" t="str">
        <f t="shared" ref="PQ5:PQ24" si="145">IFERROR(LN(FW5/FV5),"")</f>
        <v/>
      </c>
      <c r="PR5" t="str">
        <f t="shared" ref="PR5:PR24" si="146">IFERROR(LN(FX5/FW5),"")</f>
        <v/>
      </c>
      <c r="PS5" t="str">
        <f t="shared" ref="PS5:PS24" si="147">IFERROR(LN(FY5/FX5),"")</f>
        <v/>
      </c>
      <c r="PT5" t="str">
        <f t="shared" ref="PT5:PT24" si="148">IFERROR(LN(FZ5/FY5),"")</f>
        <v/>
      </c>
      <c r="PU5" t="str">
        <f t="shared" ref="PU5:PU24" si="149">IFERROR(LN(GA5/FZ5),"")</f>
        <v/>
      </c>
      <c r="PV5" t="str">
        <f t="shared" ref="PV5:PV24" si="150">IFERROR(LN(GB5/GA5),"")</f>
        <v/>
      </c>
      <c r="PW5" t="str">
        <f t="shared" ref="PW5:PW24" si="151">IFERROR(LN(GC5/GB5),"")</f>
        <v/>
      </c>
      <c r="PX5" t="str">
        <f t="shared" ref="PX5:PX24" si="152">IFERROR(LN(GD5/GC5),"")</f>
        <v/>
      </c>
      <c r="PY5" t="str">
        <f t="shared" ref="PY5:PY24" si="153">IFERROR(LN(GE5/GD5),"")</f>
        <v/>
      </c>
      <c r="PZ5" t="str">
        <f t="shared" ref="PZ5:PZ24" si="154">IFERROR(LN(GF5/GE5),"")</f>
        <v/>
      </c>
      <c r="QA5" t="str">
        <f t="shared" ref="QA5:QA24" si="155">IFERROR(LN(GG5/GF5),"")</f>
        <v/>
      </c>
      <c r="QB5" t="str">
        <f t="shared" ref="QB5:QB24" si="156">IFERROR(LN(GH5/GG5),"")</f>
        <v/>
      </c>
      <c r="QC5" t="str">
        <f t="shared" ref="QC5:QC24" si="157">IFERROR(LN(GI5/GH5),"")</f>
        <v/>
      </c>
      <c r="QD5" t="str">
        <f t="shared" ref="QD5:QD24" si="158">IFERROR(LN(GJ5/GI5),"")</f>
        <v/>
      </c>
      <c r="QE5" t="str">
        <f t="shared" ref="QE5:QE24" si="159">IFERROR(LN(GK5/GJ5),"")</f>
        <v/>
      </c>
      <c r="QF5" t="str">
        <f t="shared" ref="QF5:QF24" si="160">IFERROR(LN(GL5/GK5),"")</f>
        <v/>
      </c>
      <c r="QG5" t="str">
        <f t="shared" ref="QG5:QG24" si="161">IFERROR(LN(GM5/GL5),"")</f>
        <v/>
      </c>
      <c r="QH5" t="str">
        <f t="shared" ref="QH5:QH24" si="162">IFERROR(LN(GN5/GM5),"")</f>
        <v/>
      </c>
      <c r="QI5" t="str">
        <f t="shared" ref="QI5:QI24" si="163">IFERROR(LN(GO5/GN5),"")</f>
        <v/>
      </c>
      <c r="QJ5" t="str">
        <f t="shared" ref="QJ5:QJ24" si="164">IFERROR(LN(GP5/GO5),"")</f>
        <v/>
      </c>
      <c r="QK5" t="str">
        <f t="shared" ref="QK5:QK24" si="165">IFERROR(LN(GQ5/GP5),"")</f>
        <v/>
      </c>
      <c r="QL5" t="str">
        <f t="shared" ref="QL5:QL24" si="166">IFERROR(LN(GR5/GQ5),"")</f>
        <v/>
      </c>
      <c r="QM5" t="str">
        <f t="shared" ref="QM5:QM24" si="167">IFERROR(LN(GS5/GR5),"")</f>
        <v/>
      </c>
      <c r="QN5" t="str">
        <f t="shared" ref="QN5:QN24" si="168">IFERROR(LN(GT5/GS5),"")</f>
        <v/>
      </c>
      <c r="QO5" t="str">
        <f t="shared" ref="QO5:QO24" si="169">IFERROR(LN(GU5/GT5),"")</f>
        <v/>
      </c>
      <c r="QP5" t="str">
        <f t="shared" ref="QP5:QP24" si="170">IFERROR(LN(GV5/GU5),"")</f>
        <v/>
      </c>
      <c r="QQ5" t="str">
        <f t="shared" ref="QQ5:QQ24" si="171">IFERROR(LN(GW5/GV5),"")</f>
        <v/>
      </c>
      <c r="QR5" t="str">
        <f t="shared" ref="QR5:QR24" si="172">IFERROR(LN(GX5/GW5),"")</f>
        <v/>
      </c>
      <c r="QS5" t="str">
        <f t="shared" ref="QS5:QS24" si="173">IFERROR(LN(GY5/GX5),"")</f>
        <v/>
      </c>
      <c r="QT5" t="str">
        <f t="shared" ref="QT5:QT24" si="174">IFERROR(LN(GZ5/GY5),"")</f>
        <v/>
      </c>
      <c r="QU5" t="str">
        <f t="shared" ref="QU5:QU24" si="175">IFERROR(LN(HA5/GZ5),"")</f>
        <v/>
      </c>
      <c r="QV5" t="str">
        <f t="shared" ref="QV5:QV24" si="176">IFERROR(LN(HB5/HA5),"")</f>
        <v/>
      </c>
      <c r="QW5" t="str">
        <f t="shared" ref="QW5:QW24" si="177">IFERROR(LN(HC5/HB5),"")</f>
        <v/>
      </c>
      <c r="QX5" t="str">
        <f t="shared" ref="QX5:QX24" si="178">IFERROR(LN(HD5/HC5),"")</f>
        <v/>
      </c>
      <c r="QY5" t="str">
        <f t="shared" ref="QY5:QY24" si="179">IFERROR(LN(HE5/HD5),"")</f>
        <v/>
      </c>
      <c r="QZ5" t="str">
        <f t="shared" ref="QZ5:QZ24" si="180">IFERROR(LN(HF5/HE5),"")</f>
        <v/>
      </c>
      <c r="RA5" t="str">
        <f t="shared" ref="RA5:RA24" si="181">IFERROR(LN(HG5/HF5),"")</f>
        <v/>
      </c>
      <c r="RB5" t="str">
        <f t="shared" ref="RB5:RB24" si="182">IFERROR(LN(HH5/HG5),"")</f>
        <v/>
      </c>
      <c r="RC5" t="str">
        <f t="shared" ref="RC5:RC24" si="183">IFERROR(LN(HI5/HH5),"")</f>
        <v/>
      </c>
      <c r="RD5" t="str">
        <f t="shared" ref="RD5:RD24" si="184">IFERROR(LN(HJ5/HI5),"")</f>
        <v/>
      </c>
      <c r="RE5" t="str">
        <f t="shared" ref="RE5:RE24" si="185">IFERROR(LN(HK5/HJ5),"")</f>
        <v/>
      </c>
      <c r="RF5" t="str">
        <f t="shared" ref="RF5:RF24" si="186">IFERROR(LN(HL5/HK5),"")</f>
        <v/>
      </c>
      <c r="RG5" t="str">
        <f t="shared" ref="RG5:RG24" si="187">IFERROR(LN(HM5/HL5),"")</f>
        <v/>
      </c>
      <c r="RH5" t="str">
        <f t="shared" ref="RH5:RH24" si="188">IFERROR(LN(HN5/HM5),"")</f>
        <v/>
      </c>
      <c r="RI5" t="str">
        <f t="shared" ref="RI5:RI24" si="189">IFERROR(LN(HO5/HN5),"")</f>
        <v/>
      </c>
      <c r="RJ5" t="str">
        <f t="shared" ref="RJ5:RJ24" si="190">IFERROR(LN(HP5/HO5),"")</f>
        <v/>
      </c>
      <c r="RK5" t="str">
        <f t="shared" ref="RK5:RK24" si="191">IFERROR(LN(HQ5/HP5),"")</f>
        <v/>
      </c>
      <c r="RL5" t="str">
        <f t="shared" ref="RL5:RL24" si="192">IFERROR(LN(HR5/HQ5),"")</f>
        <v/>
      </c>
      <c r="RM5" t="str">
        <f t="shared" ref="RM5:RM24" si="193">IFERROR(LN(HS5/HR5),"")</f>
        <v/>
      </c>
      <c r="RN5" t="str">
        <f t="shared" ref="RN5:RN24" si="194">IFERROR(LN(HT5/HS5),"")</f>
        <v/>
      </c>
      <c r="RO5" t="str">
        <f t="shared" ref="RO5:RO24" si="195">IFERROR(LN(HU5/HT5),"")</f>
        <v/>
      </c>
      <c r="RP5" t="str">
        <f t="shared" ref="RP5:RP24" si="196">IFERROR(LN(HV5/HU5),"")</f>
        <v/>
      </c>
      <c r="RQ5" t="str">
        <f t="shared" ref="RQ5:RQ24" si="197">IFERROR(LN(HW5/HV5),"")</f>
        <v/>
      </c>
      <c r="RR5" t="str">
        <f t="shared" ref="RR5:RR24" si="198">IFERROR(LN(HX5/HW5),"")</f>
        <v/>
      </c>
      <c r="RS5" t="str">
        <f t="shared" ref="RS5:RS24" si="199">IFERROR(LN(HY5/HX5),"")</f>
        <v/>
      </c>
      <c r="RT5" t="str">
        <f t="shared" ref="RT5:RT24" si="200">IFERROR(LN(HZ5/HY5),"")</f>
        <v/>
      </c>
      <c r="RU5" t="str">
        <f t="shared" ref="RU5:RU24" si="201">IFERROR(LN(IA5/HZ5),"")</f>
        <v/>
      </c>
      <c r="RV5" t="str">
        <f t="shared" ref="RV5:RV24" si="202">IFERROR(LN(IB5/IA5),"")</f>
        <v/>
      </c>
      <c r="RW5" t="str">
        <f t="shared" ref="RW5:RW24" si="203">IFERROR(LN(IC5/IB5),"")</f>
        <v/>
      </c>
      <c r="RX5" t="str">
        <f t="shared" ref="RX5:RX24" si="204">IFERROR(LN(ID5/IC5),"")</f>
        <v/>
      </c>
      <c r="RY5" t="str">
        <f t="shared" ref="RY5:RY24" si="205">IFERROR(LN(IE5/ID5),"")</f>
        <v/>
      </c>
      <c r="RZ5" t="str">
        <f t="shared" ref="RZ5:RZ24" si="206">IFERROR(LN(IF5/IE5),"")</f>
        <v/>
      </c>
      <c r="SA5" t="str">
        <f t="shared" ref="SA5:SA24" si="207">IFERROR(LN(IG5/IF5),"")</f>
        <v/>
      </c>
      <c r="SB5" t="str">
        <f t="shared" ref="SB5:SB24" si="208">IFERROR(LN(IH5/IG5),"")</f>
        <v/>
      </c>
      <c r="SC5" t="str">
        <f t="shared" ref="SC5:SC24" si="209">IFERROR(LN(II5/IH5),"")</f>
        <v/>
      </c>
      <c r="SD5" t="str">
        <f t="shared" ref="SD5:SD24" si="210">IFERROR(LN(IJ5/II5),"")</f>
        <v/>
      </c>
      <c r="SE5" t="str">
        <f t="shared" ref="SE5:SE24" si="211">IFERROR(LN(IK5/IJ5),"")</f>
        <v/>
      </c>
      <c r="SF5" t="str">
        <f t="shared" ref="SF5:SF24" si="212">IFERROR(LN(IL5/IK5),"")</f>
        <v/>
      </c>
      <c r="SG5" t="str">
        <f t="shared" ref="SG5:SG24" si="213">IFERROR(LN(IM5/IL5),"")</f>
        <v/>
      </c>
      <c r="SH5" t="str">
        <f t="shared" ref="SH5:SH24" si="214">IFERROR(LN(IN5/IM5),"")</f>
        <v/>
      </c>
      <c r="SI5" t="str">
        <f t="shared" ref="SI5:SI24" si="215">IFERROR(LN(IO5/IN5),"")</f>
        <v/>
      </c>
      <c r="SJ5" t="str">
        <f t="shared" ref="SJ5:SJ24" si="216">IFERROR(LN(IP5/IO5),"")</f>
        <v/>
      </c>
      <c r="SK5" t="str">
        <f t="shared" ref="SK5:SK24" si="217">IFERROR(LN(IQ5/IP5),"")</f>
        <v/>
      </c>
      <c r="SL5" t="str">
        <f t="shared" ref="SL5:SL24" si="218">IFERROR(LN(IR5/IQ5),"")</f>
        <v/>
      </c>
      <c r="SM5" t="str">
        <f t="shared" ref="SM5:SM24" si="219">IFERROR(LN(IS5/IR5),"")</f>
        <v/>
      </c>
      <c r="SN5" t="str">
        <f t="shared" ref="SN5:SN24" si="220">IFERROR(LN(IT5/IS5),"")</f>
        <v/>
      </c>
      <c r="SO5" t="str">
        <f t="shared" ref="SO5:SO24" si="221">IFERROR(LN(IU5/IT5),"")</f>
        <v/>
      </c>
      <c r="SP5" t="str">
        <f t="shared" ref="SP5:SP24" si="222">IFERROR(LN(IV5/IU5),"")</f>
        <v/>
      </c>
    </row>
    <row r="6" spans="2:510" x14ac:dyDescent="0.3">
      <c r="B6" t="s">
        <v>11</v>
      </c>
      <c r="C6" cm="1" vm="2">
        <f t="array" aca="1" ref="C6" ca="1">INDEX(_xlfn.ANCHORARRAY(G6),D6)</f>
        <v>271.01</v>
      </c>
      <c r="D6">
        <f t="shared" ref="D6:D24" ca="1" si="223">COUNT(G6:AT6)</f>
        <v>19</v>
      </c>
      <c r="F6" t="s">
        <v>6</v>
      </c>
      <c r="G6" cm="1" vm="23">
        <f t="array" aca="1" ref="G6:Y6" ca="1">TRANSPOSE(_xlfn.STOCKHISTORY(F6,$H$4,G$4,0,0,1))</f>
        <v>278.77999999999997</v>
      </c>
      <c r="H6" vm="44">
        <f ca="1"/>
        <v>277.89</v>
      </c>
      <c r="I6" vm="65">
        <f ca="1"/>
        <v>277.18</v>
      </c>
      <c r="J6" vm="23">
        <f ca="1"/>
        <v>278.77999999999997</v>
      </c>
      <c r="K6" vm="106">
        <f ca="1"/>
        <v>278.02999999999997</v>
      </c>
      <c r="L6" vm="127">
        <f ca="1"/>
        <v>278.27999999999997</v>
      </c>
      <c r="M6" vm="148">
        <f ca="1"/>
        <v>274.11</v>
      </c>
      <c r="N6" vm="169">
        <f ca="1"/>
        <v>274.61</v>
      </c>
      <c r="O6" vm="190">
        <f ca="1"/>
        <v>271.83999999999997</v>
      </c>
      <c r="P6" vm="211">
        <f ca="1"/>
        <v>272.19</v>
      </c>
      <c r="Q6" vm="232">
        <f ca="1"/>
        <v>273.67</v>
      </c>
      <c r="R6" vm="253">
        <f ca="1"/>
        <v>270.97000000000003</v>
      </c>
      <c r="S6" vm="274">
        <f ca="1"/>
        <v>272.36</v>
      </c>
      <c r="T6" vm="295">
        <f ca="1"/>
        <v>273.81</v>
      </c>
      <c r="U6" vm="315">
        <f ca="1"/>
        <v>273.39999999999998</v>
      </c>
      <c r="V6" vm="336">
        <f ca="1"/>
        <v>273.76</v>
      </c>
      <c r="W6" vm="356">
        <f ca="1"/>
        <v>273.08</v>
      </c>
      <c r="X6" vm="377">
        <f ca="1"/>
        <v>271.86</v>
      </c>
      <c r="Y6" vm="2">
        <f ca="1"/>
        <v>271.01</v>
      </c>
      <c r="KB6" t="str">
        <f t="shared" si="0"/>
        <v/>
      </c>
      <c r="KC6" t="str">
        <f t="shared" si="1"/>
        <v/>
      </c>
      <c r="KD6" t="str">
        <f t="shared" si="2"/>
        <v/>
      </c>
      <c r="KE6" t="str">
        <f t="shared" si="3"/>
        <v/>
      </c>
      <c r="KF6" t="str">
        <f t="shared" si="4"/>
        <v/>
      </c>
      <c r="KG6" t="str">
        <f t="shared" si="5"/>
        <v/>
      </c>
      <c r="KH6" t="str">
        <f t="shared" si="6"/>
        <v/>
      </c>
      <c r="KI6" t="str">
        <f t="shared" si="7"/>
        <v/>
      </c>
      <c r="KJ6" t="str">
        <f t="shared" si="8"/>
        <v/>
      </c>
      <c r="KK6" t="str">
        <f t="shared" si="9"/>
        <v/>
      </c>
      <c r="KL6" t="str">
        <f t="shared" si="10"/>
        <v/>
      </c>
      <c r="KM6" t="str">
        <f t="shared" si="11"/>
        <v/>
      </c>
      <c r="KN6" t="str">
        <f t="shared" si="12"/>
        <v/>
      </c>
      <c r="KO6" t="str">
        <f t="shared" si="13"/>
        <v/>
      </c>
      <c r="KP6" t="str">
        <f t="shared" si="14"/>
        <v/>
      </c>
      <c r="KQ6" t="str">
        <f t="shared" si="15"/>
        <v/>
      </c>
      <c r="KR6" t="str">
        <f t="shared" si="16"/>
        <v/>
      </c>
      <c r="KS6" t="str">
        <f t="shared" si="17"/>
        <v/>
      </c>
      <c r="KT6" t="str">
        <f t="shared" si="18"/>
        <v/>
      </c>
      <c r="KU6" t="str">
        <f t="shared" si="19"/>
        <v/>
      </c>
      <c r="KV6" t="str">
        <f t="shared" si="20"/>
        <v/>
      </c>
      <c r="KW6" t="str">
        <f t="shared" si="21"/>
        <v/>
      </c>
      <c r="KX6" t="str">
        <f t="shared" si="22"/>
        <v/>
      </c>
      <c r="KY6" t="str">
        <f t="shared" si="23"/>
        <v/>
      </c>
      <c r="KZ6" t="str">
        <f t="shared" si="24"/>
        <v/>
      </c>
      <c r="LA6" t="str">
        <f t="shared" si="25"/>
        <v/>
      </c>
      <c r="LB6" t="str">
        <f t="shared" si="26"/>
        <v/>
      </c>
      <c r="LC6" t="str">
        <f t="shared" si="27"/>
        <v/>
      </c>
      <c r="LD6" t="str">
        <f t="shared" si="28"/>
        <v/>
      </c>
      <c r="LE6" t="str">
        <f t="shared" si="29"/>
        <v/>
      </c>
      <c r="LF6" t="str">
        <f t="shared" si="30"/>
        <v/>
      </c>
      <c r="LG6" t="str">
        <f t="shared" si="31"/>
        <v/>
      </c>
      <c r="LH6" t="str">
        <f t="shared" si="32"/>
        <v/>
      </c>
      <c r="LI6" t="str">
        <f t="shared" si="33"/>
        <v/>
      </c>
      <c r="LJ6" t="str">
        <f t="shared" si="34"/>
        <v/>
      </c>
      <c r="LK6" t="str">
        <f t="shared" si="35"/>
        <v/>
      </c>
      <c r="LL6" t="str">
        <f t="shared" si="36"/>
        <v/>
      </c>
      <c r="LM6" t="str">
        <f t="shared" si="37"/>
        <v/>
      </c>
      <c r="LN6" t="str">
        <f t="shared" si="38"/>
        <v/>
      </c>
      <c r="LO6" t="str">
        <f t="shared" si="39"/>
        <v/>
      </c>
      <c r="LP6" t="str">
        <f t="shared" si="40"/>
        <v/>
      </c>
      <c r="LQ6" t="str">
        <f t="shared" si="41"/>
        <v/>
      </c>
      <c r="LR6" t="str">
        <f t="shared" si="42"/>
        <v/>
      </c>
      <c r="LS6" t="str">
        <f t="shared" si="43"/>
        <v/>
      </c>
      <c r="LT6" t="str">
        <f t="shared" si="44"/>
        <v/>
      </c>
      <c r="LU6" t="str">
        <f t="shared" si="45"/>
        <v/>
      </c>
      <c r="LV6" t="str">
        <f t="shared" si="46"/>
        <v/>
      </c>
      <c r="LW6" t="str">
        <f t="shared" si="47"/>
        <v/>
      </c>
      <c r="LX6" t="str">
        <f t="shared" si="48"/>
        <v/>
      </c>
      <c r="LY6" t="str">
        <f t="shared" si="49"/>
        <v/>
      </c>
      <c r="LZ6" t="str">
        <f t="shared" si="50"/>
        <v/>
      </c>
      <c r="MA6" t="str">
        <f t="shared" si="51"/>
        <v/>
      </c>
      <c r="MB6" t="str">
        <f t="shared" si="52"/>
        <v/>
      </c>
      <c r="MC6" t="str">
        <f t="shared" si="53"/>
        <v/>
      </c>
      <c r="MD6" t="str">
        <f t="shared" si="54"/>
        <v/>
      </c>
      <c r="ME6" t="str">
        <f t="shared" si="55"/>
        <v/>
      </c>
      <c r="MF6" t="str">
        <f t="shared" si="56"/>
        <v/>
      </c>
      <c r="MG6" t="str">
        <f t="shared" si="57"/>
        <v/>
      </c>
      <c r="MH6" t="str">
        <f t="shared" si="58"/>
        <v/>
      </c>
      <c r="MI6" t="str">
        <f t="shared" si="59"/>
        <v/>
      </c>
      <c r="MJ6" t="str">
        <f t="shared" si="60"/>
        <v/>
      </c>
      <c r="MK6" t="str">
        <f t="shared" si="61"/>
        <v/>
      </c>
      <c r="ML6" t="str">
        <f t="shared" si="62"/>
        <v/>
      </c>
      <c r="MM6" t="str">
        <f t="shared" si="63"/>
        <v/>
      </c>
      <c r="MN6" t="str">
        <f t="shared" si="64"/>
        <v/>
      </c>
      <c r="MO6" t="str">
        <f t="shared" si="65"/>
        <v/>
      </c>
      <c r="MP6" t="str">
        <f t="shared" si="66"/>
        <v/>
      </c>
      <c r="MQ6" t="str">
        <f t="shared" si="67"/>
        <v/>
      </c>
      <c r="MR6" t="str">
        <f t="shared" si="68"/>
        <v/>
      </c>
      <c r="MS6" t="str">
        <f t="shared" si="69"/>
        <v/>
      </c>
      <c r="MT6" t="str">
        <f t="shared" si="70"/>
        <v/>
      </c>
      <c r="MU6" t="str">
        <f t="shared" si="71"/>
        <v/>
      </c>
      <c r="MV6" t="str">
        <f t="shared" si="72"/>
        <v/>
      </c>
      <c r="MW6" t="str">
        <f t="shared" si="73"/>
        <v/>
      </c>
      <c r="MX6" t="str">
        <f t="shared" si="74"/>
        <v/>
      </c>
      <c r="MY6" t="str">
        <f t="shared" si="75"/>
        <v/>
      </c>
      <c r="MZ6" t="str">
        <f t="shared" si="76"/>
        <v/>
      </c>
      <c r="NA6" t="str">
        <f t="shared" si="77"/>
        <v/>
      </c>
      <c r="NB6" t="str">
        <f t="shared" si="78"/>
        <v/>
      </c>
      <c r="NC6" t="str">
        <f t="shared" si="79"/>
        <v/>
      </c>
      <c r="ND6" t="str">
        <f t="shared" si="80"/>
        <v/>
      </c>
      <c r="NE6" t="str">
        <f t="shared" si="81"/>
        <v/>
      </c>
      <c r="NF6" t="str">
        <f t="shared" si="82"/>
        <v/>
      </c>
      <c r="NG6" t="str">
        <f t="shared" si="83"/>
        <v/>
      </c>
      <c r="NH6" t="str">
        <f t="shared" si="84"/>
        <v/>
      </c>
      <c r="NI6" t="str">
        <f t="shared" si="85"/>
        <v/>
      </c>
      <c r="NJ6" t="str">
        <f t="shared" si="86"/>
        <v/>
      </c>
      <c r="NK6" t="str">
        <f t="shared" si="87"/>
        <v/>
      </c>
      <c r="NL6" t="str">
        <f t="shared" si="88"/>
        <v/>
      </c>
      <c r="NM6" t="str">
        <f t="shared" si="89"/>
        <v/>
      </c>
      <c r="NN6" t="str">
        <f t="shared" si="90"/>
        <v/>
      </c>
      <c r="NO6" t="str">
        <f t="shared" si="91"/>
        <v/>
      </c>
      <c r="NP6" t="str">
        <f t="shared" si="92"/>
        <v/>
      </c>
      <c r="NQ6" t="str">
        <f t="shared" si="93"/>
        <v/>
      </c>
      <c r="NR6" t="str">
        <f t="shared" si="94"/>
        <v/>
      </c>
      <c r="NS6" t="str">
        <f t="shared" si="95"/>
        <v/>
      </c>
      <c r="NT6" t="str">
        <f t="shared" si="96"/>
        <v/>
      </c>
      <c r="NU6" t="str">
        <f t="shared" si="97"/>
        <v/>
      </c>
      <c r="NV6" t="str">
        <f t="shared" si="98"/>
        <v/>
      </c>
      <c r="NW6" t="str">
        <f t="shared" si="99"/>
        <v/>
      </c>
      <c r="NX6" t="str">
        <f t="shared" si="100"/>
        <v/>
      </c>
      <c r="NY6" t="str">
        <f t="shared" si="101"/>
        <v/>
      </c>
      <c r="NZ6" t="str">
        <f t="shared" si="102"/>
        <v/>
      </c>
      <c r="OA6" t="str">
        <f t="shared" si="103"/>
        <v/>
      </c>
      <c r="OB6" t="str">
        <f t="shared" si="104"/>
        <v/>
      </c>
      <c r="OC6" t="str">
        <f t="shared" si="105"/>
        <v/>
      </c>
      <c r="OD6" t="str">
        <f t="shared" si="106"/>
        <v/>
      </c>
      <c r="OE6" t="str">
        <f t="shared" si="107"/>
        <v/>
      </c>
      <c r="OF6" t="str">
        <f t="shared" si="108"/>
        <v/>
      </c>
      <c r="OG6" t="str">
        <f t="shared" si="109"/>
        <v/>
      </c>
      <c r="OH6" t="str">
        <f t="shared" si="110"/>
        <v/>
      </c>
      <c r="OI6" t="str">
        <f t="shared" si="111"/>
        <v/>
      </c>
      <c r="OJ6" t="str">
        <f t="shared" si="112"/>
        <v/>
      </c>
      <c r="OK6" t="str">
        <f t="shared" si="113"/>
        <v/>
      </c>
      <c r="OL6" t="str">
        <f t="shared" si="114"/>
        <v/>
      </c>
      <c r="OM6" t="str">
        <f t="shared" si="115"/>
        <v/>
      </c>
      <c r="ON6" t="str">
        <f t="shared" si="116"/>
        <v/>
      </c>
      <c r="OO6" t="str">
        <f t="shared" si="117"/>
        <v/>
      </c>
      <c r="OP6" t="str">
        <f t="shared" si="118"/>
        <v/>
      </c>
      <c r="OQ6" t="str">
        <f t="shared" si="119"/>
        <v/>
      </c>
      <c r="OR6" t="str">
        <f t="shared" si="120"/>
        <v/>
      </c>
      <c r="OS6" t="str">
        <f t="shared" si="121"/>
        <v/>
      </c>
      <c r="OT6" t="str">
        <f t="shared" si="122"/>
        <v/>
      </c>
      <c r="OU6" t="str">
        <f t="shared" si="123"/>
        <v/>
      </c>
      <c r="OV6" t="str">
        <f t="shared" si="124"/>
        <v/>
      </c>
      <c r="OW6" t="str">
        <f t="shared" si="125"/>
        <v/>
      </c>
      <c r="OX6" t="str">
        <f t="shared" si="126"/>
        <v/>
      </c>
      <c r="OY6" t="str">
        <f t="shared" si="127"/>
        <v/>
      </c>
      <c r="OZ6" t="str">
        <f t="shared" si="128"/>
        <v/>
      </c>
      <c r="PA6" t="str">
        <f t="shared" si="129"/>
        <v/>
      </c>
      <c r="PB6" t="str">
        <f t="shared" si="130"/>
        <v/>
      </c>
      <c r="PC6" t="str">
        <f t="shared" si="131"/>
        <v/>
      </c>
      <c r="PD6" t="str">
        <f t="shared" si="132"/>
        <v/>
      </c>
      <c r="PE6" t="str">
        <f t="shared" si="133"/>
        <v/>
      </c>
      <c r="PF6" t="str">
        <f t="shared" si="134"/>
        <v/>
      </c>
      <c r="PG6" t="str">
        <f t="shared" si="135"/>
        <v/>
      </c>
      <c r="PH6" t="str">
        <f t="shared" si="136"/>
        <v/>
      </c>
      <c r="PI6" t="str">
        <f t="shared" si="137"/>
        <v/>
      </c>
      <c r="PJ6" t="str">
        <f t="shared" si="138"/>
        <v/>
      </c>
      <c r="PK6" t="str">
        <f t="shared" si="139"/>
        <v/>
      </c>
      <c r="PL6" t="str">
        <f t="shared" si="140"/>
        <v/>
      </c>
      <c r="PM6" t="str">
        <f t="shared" si="141"/>
        <v/>
      </c>
      <c r="PN6" t="str">
        <f t="shared" si="142"/>
        <v/>
      </c>
      <c r="PO6" t="str">
        <f t="shared" si="143"/>
        <v/>
      </c>
      <c r="PP6" t="str">
        <f t="shared" si="144"/>
        <v/>
      </c>
      <c r="PQ6" t="str">
        <f t="shared" si="145"/>
        <v/>
      </c>
      <c r="PR6" t="str">
        <f t="shared" si="146"/>
        <v/>
      </c>
      <c r="PS6" t="str">
        <f t="shared" si="147"/>
        <v/>
      </c>
      <c r="PT6" t="str">
        <f t="shared" si="148"/>
        <v/>
      </c>
      <c r="PU6" t="str">
        <f t="shared" si="149"/>
        <v/>
      </c>
      <c r="PV6" t="str">
        <f t="shared" si="150"/>
        <v/>
      </c>
      <c r="PW6" t="str">
        <f t="shared" si="151"/>
        <v/>
      </c>
      <c r="PX6" t="str">
        <f t="shared" si="152"/>
        <v/>
      </c>
      <c r="PY6" t="str">
        <f t="shared" si="153"/>
        <v/>
      </c>
      <c r="PZ6" t="str">
        <f t="shared" si="154"/>
        <v/>
      </c>
      <c r="QA6" t="str">
        <f t="shared" si="155"/>
        <v/>
      </c>
      <c r="QB6" t="str">
        <f t="shared" si="156"/>
        <v/>
      </c>
      <c r="QC6" t="str">
        <f t="shared" si="157"/>
        <v/>
      </c>
      <c r="QD6" t="str">
        <f t="shared" si="158"/>
        <v/>
      </c>
      <c r="QE6" t="str">
        <f t="shared" si="159"/>
        <v/>
      </c>
      <c r="QF6" t="str">
        <f t="shared" si="160"/>
        <v/>
      </c>
      <c r="QG6" t="str">
        <f t="shared" si="161"/>
        <v/>
      </c>
      <c r="QH6" t="str">
        <f t="shared" si="162"/>
        <v/>
      </c>
      <c r="QI6" t="str">
        <f t="shared" si="163"/>
        <v/>
      </c>
      <c r="QJ6" t="str">
        <f t="shared" si="164"/>
        <v/>
      </c>
      <c r="QK6" t="str">
        <f t="shared" si="165"/>
        <v/>
      </c>
      <c r="QL6" t="str">
        <f t="shared" si="166"/>
        <v/>
      </c>
      <c r="QM6" t="str">
        <f t="shared" si="167"/>
        <v/>
      </c>
      <c r="QN6" t="str">
        <f t="shared" si="168"/>
        <v/>
      </c>
      <c r="QO6" t="str">
        <f t="shared" si="169"/>
        <v/>
      </c>
      <c r="QP6" t="str">
        <f t="shared" si="170"/>
        <v/>
      </c>
      <c r="QQ6" t="str">
        <f t="shared" si="171"/>
        <v/>
      </c>
      <c r="QR6" t="str">
        <f t="shared" si="172"/>
        <v/>
      </c>
      <c r="QS6" t="str">
        <f t="shared" si="173"/>
        <v/>
      </c>
      <c r="QT6" t="str">
        <f t="shared" si="174"/>
        <v/>
      </c>
      <c r="QU6" t="str">
        <f t="shared" si="175"/>
        <v/>
      </c>
      <c r="QV6" t="str">
        <f t="shared" si="176"/>
        <v/>
      </c>
      <c r="QW6" t="str">
        <f t="shared" si="177"/>
        <v/>
      </c>
      <c r="QX6" t="str">
        <f t="shared" si="178"/>
        <v/>
      </c>
      <c r="QY6" t="str">
        <f t="shared" si="179"/>
        <v/>
      </c>
      <c r="QZ6" t="str">
        <f t="shared" si="180"/>
        <v/>
      </c>
      <c r="RA6" t="str">
        <f t="shared" si="181"/>
        <v/>
      </c>
      <c r="RB6" t="str">
        <f t="shared" si="182"/>
        <v/>
      </c>
      <c r="RC6" t="str">
        <f t="shared" si="183"/>
        <v/>
      </c>
      <c r="RD6" t="str">
        <f t="shared" si="184"/>
        <v/>
      </c>
      <c r="RE6" t="str">
        <f t="shared" si="185"/>
        <v/>
      </c>
      <c r="RF6" t="str">
        <f t="shared" si="186"/>
        <v/>
      </c>
      <c r="RG6" t="str">
        <f t="shared" si="187"/>
        <v/>
      </c>
      <c r="RH6" t="str">
        <f t="shared" si="188"/>
        <v/>
      </c>
      <c r="RI6" t="str">
        <f t="shared" si="189"/>
        <v/>
      </c>
      <c r="RJ6" t="str">
        <f t="shared" si="190"/>
        <v/>
      </c>
      <c r="RK6" t="str">
        <f t="shared" si="191"/>
        <v/>
      </c>
      <c r="RL6" t="str">
        <f t="shared" si="192"/>
        <v/>
      </c>
      <c r="RM6" t="str">
        <f t="shared" si="193"/>
        <v/>
      </c>
      <c r="RN6" t="str">
        <f t="shared" si="194"/>
        <v/>
      </c>
      <c r="RO6" t="str">
        <f t="shared" si="195"/>
        <v/>
      </c>
      <c r="RP6" t="str">
        <f t="shared" si="196"/>
        <v/>
      </c>
      <c r="RQ6" t="str">
        <f t="shared" si="197"/>
        <v/>
      </c>
      <c r="RR6" t="str">
        <f t="shared" si="198"/>
        <v/>
      </c>
      <c r="RS6" t="str">
        <f t="shared" si="199"/>
        <v/>
      </c>
      <c r="RT6" t="str">
        <f t="shared" si="200"/>
        <v/>
      </c>
      <c r="RU6" t="str">
        <f t="shared" si="201"/>
        <v/>
      </c>
      <c r="RV6" t="str">
        <f t="shared" si="202"/>
        <v/>
      </c>
      <c r="RW6" t="str">
        <f t="shared" si="203"/>
        <v/>
      </c>
      <c r="RX6" t="str">
        <f t="shared" si="204"/>
        <v/>
      </c>
      <c r="RY6" t="str">
        <f t="shared" si="205"/>
        <v/>
      </c>
      <c r="RZ6" t="str">
        <f t="shared" si="206"/>
        <v/>
      </c>
      <c r="SA6" t="str">
        <f t="shared" si="207"/>
        <v/>
      </c>
      <c r="SB6" t="str">
        <f t="shared" si="208"/>
        <v/>
      </c>
      <c r="SC6" t="str">
        <f t="shared" si="209"/>
        <v/>
      </c>
      <c r="SD6" t="str">
        <f t="shared" si="210"/>
        <v/>
      </c>
      <c r="SE6" t="str">
        <f t="shared" si="211"/>
        <v/>
      </c>
      <c r="SF6" t="str">
        <f t="shared" si="212"/>
        <v/>
      </c>
      <c r="SG6" t="str">
        <f t="shared" si="213"/>
        <v/>
      </c>
      <c r="SH6" t="str">
        <f t="shared" si="214"/>
        <v/>
      </c>
      <c r="SI6" t="str">
        <f t="shared" si="215"/>
        <v/>
      </c>
      <c r="SJ6" t="str">
        <f t="shared" si="216"/>
        <v/>
      </c>
      <c r="SK6" t="str">
        <f t="shared" si="217"/>
        <v/>
      </c>
      <c r="SL6" t="str">
        <f t="shared" si="218"/>
        <v/>
      </c>
      <c r="SM6" t="str">
        <f t="shared" si="219"/>
        <v/>
      </c>
      <c r="SN6" t="str">
        <f t="shared" si="220"/>
        <v/>
      </c>
      <c r="SO6" t="str">
        <f t="shared" si="221"/>
        <v/>
      </c>
      <c r="SP6" t="str">
        <f t="shared" si="222"/>
        <v/>
      </c>
    </row>
    <row r="7" spans="2:510" x14ac:dyDescent="0.3">
      <c r="B7" t="s">
        <v>12</v>
      </c>
      <c r="C7" cm="1" vm="3">
        <f t="array" aca="1" ref="C7" ca="1">INDEX(_xlfn.ANCHORARRAY(G7),D7)</f>
        <v>472.94</v>
      </c>
      <c r="D7">
        <f t="shared" ca="1" si="223"/>
        <v>19</v>
      </c>
      <c r="F7" t="s">
        <v>13</v>
      </c>
      <c r="G7" cm="1" vm="24">
        <f t="array" aca="1" ref="G7:Y7" ca="1">TRANSPOSE(_xlfn.STOCKHISTORY(F7,$H$4,G$4,0,0,1))</f>
        <v>483.16</v>
      </c>
      <c r="H7" vm="45">
        <f ca="1"/>
        <v>491.02</v>
      </c>
      <c r="I7" vm="66">
        <f ca="1"/>
        <v>492.02</v>
      </c>
      <c r="J7" vm="86">
        <f ca="1"/>
        <v>478.56</v>
      </c>
      <c r="K7" vm="107">
        <f ca="1"/>
        <v>483.47</v>
      </c>
      <c r="L7" vm="128">
        <f ca="1"/>
        <v>478.53</v>
      </c>
      <c r="M7" vm="149">
        <f ca="1"/>
        <v>474.82</v>
      </c>
      <c r="N7" vm="170">
        <f ca="1"/>
        <v>476.39</v>
      </c>
      <c r="O7" vm="191">
        <f ca="1"/>
        <v>476.12</v>
      </c>
      <c r="P7" vm="212">
        <f ca="1"/>
        <v>483.98</v>
      </c>
      <c r="Q7" vm="233">
        <f ca="1"/>
        <v>485.92</v>
      </c>
      <c r="R7" vm="254">
        <f ca="1"/>
        <v>484.92</v>
      </c>
      <c r="S7" vm="275">
        <f ca="1"/>
        <v>486.85</v>
      </c>
      <c r="T7" vm="296">
        <f ca="1"/>
        <v>488.02</v>
      </c>
      <c r="U7" vm="316">
        <f ca="1"/>
        <v>487.71</v>
      </c>
      <c r="V7" vm="337">
        <f ca="1"/>
        <v>487.1</v>
      </c>
      <c r="W7" vm="357">
        <f ca="1"/>
        <v>487.48</v>
      </c>
      <c r="X7" vm="378">
        <f ca="1"/>
        <v>483.62</v>
      </c>
      <c r="Y7" vm="3">
        <f ca="1"/>
        <v>472.94</v>
      </c>
      <c r="KB7" t="str">
        <f t="shared" si="0"/>
        <v/>
      </c>
      <c r="KC7" t="str">
        <f t="shared" si="1"/>
        <v/>
      </c>
      <c r="KD7" t="str">
        <f t="shared" si="2"/>
        <v/>
      </c>
      <c r="KE7" t="str">
        <f t="shared" si="3"/>
        <v/>
      </c>
      <c r="KF7" t="str">
        <f t="shared" si="4"/>
        <v/>
      </c>
      <c r="KG7" t="str">
        <f t="shared" si="5"/>
        <v/>
      </c>
      <c r="KH7" t="str">
        <f t="shared" si="6"/>
        <v/>
      </c>
      <c r="KI7" t="str">
        <f t="shared" si="7"/>
        <v/>
      </c>
      <c r="KJ7" t="str">
        <f t="shared" si="8"/>
        <v/>
      </c>
      <c r="KK7" t="str">
        <f t="shared" si="9"/>
        <v/>
      </c>
      <c r="KL7" t="str">
        <f t="shared" si="10"/>
        <v/>
      </c>
      <c r="KM7" t="str">
        <f t="shared" si="11"/>
        <v/>
      </c>
      <c r="KN7" t="str">
        <f t="shared" si="12"/>
        <v/>
      </c>
      <c r="KO7" t="str">
        <f t="shared" si="13"/>
        <v/>
      </c>
      <c r="KP7" t="str">
        <f t="shared" si="14"/>
        <v/>
      </c>
      <c r="KQ7" t="str">
        <f t="shared" si="15"/>
        <v/>
      </c>
      <c r="KR7" t="str">
        <f t="shared" si="16"/>
        <v/>
      </c>
      <c r="KS7" t="str">
        <f t="shared" si="17"/>
        <v/>
      </c>
      <c r="KT7" t="str">
        <f t="shared" si="18"/>
        <v/>
      </c>
      <c r="KU7" t="str">
        <f t="shared" si="19"/>
        <v/>
      </c>
      <c r="KV7" t="str">
        <f t="shared" si="20"/>
        <v/>
      </c>
      <c r="KW7" t="str">
        <f t="shared" si="21"/>
        <v/>
      </c>
      <c r="KX7" t="str">
        <f t="shared" si="22"/>
        <v/>
      </c>
      <c r="KY7" t="str">
        <f t="shared" si="23"/>
        <v/>
      </c>
      <c r="KZ7" t="str">
        <f t="shared" si="24"/>
        <v/>
      </c>
      <c r="LA7" t="str">
        <f t="shared" si="25"/>
        <v/>
      </c>
      <c r="LB7" t="str">
        <f t="shared" si="26"/>
        <v/>
      </c>
      <c r="LC7" t="str">
        <f t="shared" si="27"/>
        <v/>
      </c>
      <c r="LD7" t="str">
        <f t="shared" si="28"/>
        <v/>
      </c>
      <c r="LE7" t="str">
        <f t="shared" si="29"/>
        <v/>
      </c>
      <c r="LF7" t="str">
        <f t="shared" si="30"/>
        <v/>
      </c>
      <c r="LG7" t="str">
        <f t="shared" si="31"/>
        <v/>
      </c>
      <c r="LH7" t="str">
        <f t="shared" si="32"/>
        <v/>
      </c>
      <c r="LI7" t="str">
        <f t="shared" si="33"/>
        <v/>
      </c>
      <c r="LJ7" t="str">
        <f t="shared" si="34"/>
        <v/>
      </c>
      <c r="LK7" t="str">
        <f t="shared" si="35"/>
        <v/>
      </c>
      <c r="LL7" t="str">
        <f t="shared" si="36"/>
        <v/>
      </c>
      <c r="LM7" t="str">
        <f t="shared" si="37"/>
        <v/>
      </c>
      <c r="LN7" t="str">
        <f t="shared" si="38"/>
        <v/>
      </c>
      <c r="LO7" t="str">
        <f t="shared" si="39"/>
        <v/>
      </c>
      <c r="LP7" t="str">
        <f t="shared" si="40"/>
        <v/>
      </c>
      <c r="LQ7" t="str">
        <f t="shared" si="41"/>
        <v/>
      </c>
      <c r="LR7" t="str">
        <f t="shared" si="42"/>
        <v/>
      </c>
      <c r="LS7" t="str">
        <f t="shared" si="43"/>
        <v/>
      </c>
      <c r="LT7" t="str">
        <f t="shared" si="44"/>
        <v/>
      </c>
      <c r="LU7" t="str">
        <f t="shared" si="45"/>
        <v/>
      </c>
      <c r="LV7" t="str">
        <f t="shared" si="46"/>
        <v/>
      </c>
      <c r="LW7" t="str">
        <f t="shared" si="47"/>
        <v/>
      </c>
      <c r="LX7" t="str">
        <f t="shared" si="48"/>
        <v/>
      </c>
      <c r="LY7" t="str">
        <f t="shared" si="49"/>
        <v/>
      </c>
      <c r="LZ7" t="str">
        <f t="shared" si="50"/>
        <v/>
      </c>
      <c r="MA7" t="str">
        <f t="shared" si="51"/>
        <v/>
      </c>
      <c r="MB7" t="str">
        <f t="shared" si="52"/>
        <v/>
      </c>
      <c r="MC7" t="str">
        <f t="shared" si="53"/>
        <v/>
      </c>
      <c r="MD7" t="str">
        <f t="shared" si="54"/>
        <v/>
      </c>
      <c r="ME7" t="str">
        <f t="shared" si="55"/>
        <v/>
      </c>
      <c r="MF7" t="str">
        <f t="shared" si="56"/>
        <v/>
      </c>
      <c r="MG7" t="str">
        <f t="shared" si="57"/>
        <v/>
      </c>
      <c r="MH7" t="str">
        <f t="shared" si="58"/>
        <v/>
      </c>
      <c r="MI7" t="str">
        <f t="shared" si="59"/>
        <v/>
      </c>
      <c r="MJ7" t="str">
        <f t="shared" si="60"/>
        <v/>
      </c>
      <c r="MK7" t="str">
        <f t="shared" si="61"/>
        <v/>
      </c>
      <c r="ML7" t="str">
        <f t="shared" si="62"/>
        <v/>
      </c>
      <c r="MM7" t="str">
        <f t="shared" si="63"/>
        <v/>
      </c>
      <c r="MN7" t="str">
        <f t="shared" si="64"/>
        <v/>
      </c>
      <c r="MO7" t="str">
        <f t="shared" si="65"/>
        <v/>
      </c>
      <c r="MP7" t="str">
        <f t="shared" si="66"/>
        <v/>
      </c>
      <c r="MQ7" t="str">
        <f t="shared" si="67"/>
        <v/>
      </c>
      <c r="MR7" t="str">
        <f t="shared" si="68"/>
        <v/>
      </c>
      <c r="MS7" t="str">
        <f t="shared" si="69"/>
        <v/>
      </c>
      <c r="MT7" t="str">
        <f t="shared" si="70"/>
        <v/>
      </c>
      <c r="MU7" t="str">
        <f t="shared" si="71"/>
        <v/>
      </c>
      <c r="MV7" t="str">
        <f t="shared" si="72"/>
        <v/>
      </c>
      <c r="MW7" t="str">
        <f t="shared" si="73"/>
        <v/>
      </c>
      <c r="MX7" t="str">
        <f t="shared" si="74"/>
        <v/>
      </c>
      <c r="MY7" t="str">
        <f t="shared" si="75"/>
        <v/>
      </c>
      <c r="MZ7" t="str">
        <f t="shared" si="76"/>
        <v/>
      </c>
      <c r="NA7" t="str">
        <f t="shared" si="77"/>
        <v/>
      </c>
      <c r="NB7" t="str">
        <f t="shared" si="78"/>
        <v/>
      </c>
      <c r="NC7" t="str">
        <f t="shared" si="79"/>
        <v/>
      </c>
      <c r="ND7" t="str">
        <f t="shared" si="80"/>
        <v/>
      </c>
      <c r="NE7" t="str">
        <f t="shared" si="81"/>
        <v/>
      </c>
      <c r="NF7" t="str">
        <f t="shared" si="82"/>
        <v/>
      </c>
      <c r="NG7" t="str">
        <f t="shared" si="83"/>
        <v/>
      </c>
      <c r="NH7" t="str">
        <f t="shared" si="84"/>
        <v/>
      </c>
      <c r="NI7" t="str">
        <f t="shared" si="85"/>
        <v/>
      </c>
      <c r="NJ7" t="str">
        <f t="shared" si="86"/>
        <v/>
      </c>
      <c r="NK7" t="str">
        <f t="shared" si="87"/>
        <v/>
      </c>
      <c r="NL7" t="str">
        <f t="shared" si="88"/>
        <v/>
      </c>
      <c r="NM7" t="str">
        <f t="shared" si="89"/>
        <v/>
      </c>
      <c r="NN7" t="str">
        <f t="shared" si="90"/>
        <v/>
      </c>
      <c r="NO7" t="str">
        <f t="shared" si="91"/>
        <v/>
      </c>
      <c r="NP7" t="str">
        <f t="shared" si="92"/>
        <v/>
      </c>
      <c r="NQ7" t="str">
        <f t="shared" si="93"/>
        <v/>
      </c>
      <c r="NR7" t="str">
        <f t="shared" si="94"/>
        <v/>
      </c>
      <c r="NS7" t="str">
        <f t="shared" si="95"/>
        <v/>
      </c>
      <c r="NT7" t="str">
        <f t="shared" si="96"/>
        <v/>
      </c>
      <c r="NU7" t="str">
        <f t="shared" si="97"/>
        <v/>
      </c>
      <c r="NV7" t="str">
        <f t="shared" si="98"/>
        <v/>
      </c>
      <c r="NW7" t="str">
        <f t="shared" si="99"/>
        <v/>
      </c>
      <c r="NX7" t="str">
        <f t="shared" si="100"/>
        <v/>
      </c>
      <c r="NY7" t="str">
        <f t="shared" si="101"/>
        <v/>
      </c>
      <c r="NZ7" t="str">
        <f t="shared" si="102"/>
        <v/>
      </c>
      <c r="OA7" t="str">
        <f t="shared" si="103"/>
        <v/>
      </c>
      <c r="OB7" t="str">
        <f t="shared" si="104"/>
        <v/>
      </c>
      <c r="OC7" t="str">
        <f t="shared" si="105"/>
        <v/>
      </c>
      <c r="OD7" t="str">
        <f t="shared" si="106"/>
        <v/>
      </c>
      <c r="OE7" t="str">
        <f t="shared" si="107"/>
        <v/>
      </c>
      <c r="OF7" t="str">
        <f t="shared" si="108"/>
        <v/>
      </c>
      <c r="OG7" t="str">
        <f t="shared" si="109"/>
        <v/>
      </c>
      <c r="OH7" t="str">
        <f t="shared" si="110"/>
        <v/>
      </c>
      <c r="OI7" t="str">
        <f t="shared" si="111"/>
        <v/>
      </c>
      <c r="OJ7" t="str">
        <f t="shared" si="112"/>
        <v/>
      </c>
      <c r="OK7" t="str">
        <f t="shared" si="113"/>
        <v/>
      </c>
      <c r="OL7" t="str">
        <f t="shared" si="114"/>
        <v/>
      </c>
      <c r="OM7" t="str">
        <f t="shared" si="115"/>
        <v/>
      </c>
      <c r="ON7" t="str">
        <f t="shared" si="116"/>
        <v/>
      </c>
      <c r="OO7" t="str">
        <f t="shared" si="117"/>
        <v/>
      </c>
      <c r="OP7" t="str">
        <f t="shared" si="118"/>
        <v/>
      </c>
      <c r="OQ7" t="str">
        <f t="shared" si="119"/>
        <v/>
      </c>
      <c r="OR7" t="str">
        <f t="shared" si="120"/>
        <v/>
      </c>
      <c r="OS7" t="str">
        <f t="shared" si="121"/>
        <v/>
      </c>
      <c r="OT7" t="str">
        <f t="shared" si="122"/>
        <v/>
      </c>
      <c r="OU7" t="str">
        <f t="shared" si="123"/>
        <v/>
      </c>
      <c r="OV7" t="str">
        <f t="shared" si="124"/>
        <v/>
      </c>
      <c r="OW7" t="str">
        <f t="shared" si="125"/>
        <v/>
      </c>
      <c r="OX7" t="str">
        <f t="shared" si="126"/>
        <v/>
      </c>
      <c r="OY7" t="str">
        <f t="shared" si="127"/>
        <v/>
      </c>
      <c r="OZ7" t="str">
        <f t="shared" si="128"/>
        <v/>
      </c>
      <c r="PA7" t="str">
        <f t="shared" si="129"/>
        <v/>
      </c>
      <c r="PB7" t="str">
        <f t="shared" si="130"/>
        <v/>
      </c>
      <c r="PC7" t="str">
        <f t="shared" si="131"/>
        <v/>
      </c>
      <c r="PD7" t="str">
        <f t="shared" si="132"/>
        <v/>
      </c>
      <c r="PE7" t="str">
        <f t="shared" si="133"/>
        <v/>
      </c>
      <c r="PF7" t="str">
        <f t="shared" si="134"/>
        <v/>
      </c>
      <c r="PG7" t="str">
        <f t="shared" si="135"/>
        <v/>
      </c>
      <c r="PH7" t="str">
        <f t="shared" si="136"/>
        <v/>
      </c>
      <c r="PI7" t="str">
        <f t="shared" si="137"/>
        <v/>
      </c>
      <c r="PJ7" t="str">
        <f t="shared" si="138"/>
        <v/>
      </c>
      <c r="PK7" t="str">
        <f t="shared" si="139"/>
        <v/>
      </c>
      <c r="PL7" t="str">
        <f t="shared" si="140"/>
        <v/>
      </c>
      <c r="PM7" t="str">
        <f t="shared" si="141"/>
        <v/>
      </c>
      <c r="PN7" t="str">
        <f t="shared" si="142"/>
        <v/>
      </c>
      <c r="PO7" t="str">
        <f t="shared" si="143"/>
        <v/>
      </c>
      <c r="PP7" t="str">
        <f t="shared" si="144"/>
        <v/>
      </c>
      <c r="PQ7" t="str">
        <f t="shared" si="145"/>
        <v/>
      </c>
      <c r="PR7" t="str">
        <f t="shared" si="146"/>
        <v/>
      </c>
      <c r="PS7" t="str">
        <f t="shared" si="147"/>
        <v/>
      </c>
      <c r="PT7" t="str">
        <f t="shared" si="148"/>
        <v/>
      </c>
      <c r="PU7" t="str">
        <f t="shared" si="149"/>
        <v/>
      </c>
      <c r="PV7" t="str">
        <f t="shared" si="150"/>
        <v/>
      </c>
      <c r="PW7" t="str">
        <f t="shared" si="151"/>
        <v/>
      </c>
      <c r="PX7" t="str">
        <f t="shared" si="152"/>
        <v/>
      </c>
      <c r="PY7" t="str">
        <f t="shared" si="153"/>
        <v/>
      </c>
      <c r="PZ7" t="str">
        <f t="shared" si="154"/>
        <v/>
      </c>
      <c r="QA7" t="str">
        <f t="shared" si="155"/>
        <v/>
      </c>
      <c r="QB7" t="str">
        <f t="shared" si="156"/>
        <v/>
      </c>
      <c r="QC7" t="str">
        <f t="shared" si="157"/>
        <v/>
      </c>
      <c r="QD7" t="str">
        <f t="shared" si="158"/>
        <v/>
      </c>
      <c r="QE7" t="str">
        <f t="shared" si="159"/>
        <v/>
      </c>
      <c r="QF7" t="str">
        <f t="shared" si="160"/>
        <v/>
      </c>
      <c r="QG7" t="str">
        <f t="shared" si="161"/>
        <v/>
      </c>
      <c r="QH7" t="str">
        <f t="shared" si="162"/>
        <v/>
      </c>
      <c r="QI7" t="str">
        <f t="shared" si="163"/>
        <v/>
      </c>
      <c r="QJ7" t="str">
        <f t="shared" si="164"/>
        <v/>
      </c>
      <c r="QK7" t="str">
        <f t="shared" si="165"/>
        <v/>
      </c>
      <c r="QL7" t="str">
        <f t="shared" si="166"/>
        <v/>
      </c>
      <c r="QM7" t="str">
        <f t="shared" si="167"/>
        <v/>
      </c>
      <c r="QN7" t="str">
        <f t="shared" si="168"/>
        <v/>
      </c>
      <c r="QO7" t="str">
        <f t="shared" si="169"/>
        <v/>
      </c>
      <c r="QP7" t="str">
        <f t="shared" si="170"/>
        <v/>
      </c>
      <c r="QQ7" t="str">
        <f t="shared" si="171"/>
        <v/>
      </c>
      <c r="QR7" t="str">
        <f t="shared" si="172"/>
        <v/>
      </c>
      <c r="QS7" t="str">
        <f t="shared" si="173"/>
        <v/>
      </c>
      <c r="QT7" t="str">
        <f t="shared" si="174"/>
        <v/>
      </c>
      <c r="QU7" t="str">
        <f t="shared" si="175"/>
        <v/>
      </c>
      <c r="QV7" t="str">
        <f t="shared" si="176"/>
        <v/>
      </c>
      <c r="QW7" t="str">
        <f t="shared" si="177"/>
        <v/>
      </c>
      <c r="QX7" t="str">
        <f t="shared" si="178"/>
        <v/>
      </c>
      <c r="QY7" t="str">
        <f t="shared" si="179"/>
        <v/>
      </c>
      <c r="QZ7" t="str">
        <f t="shared" si="180"/>
        <v/>
      </c>
      <c r="RA7" t="str">
        <f t="shared" si="181"/>
        <v/>
      </c>
      <c r="RB7" t="str">
        <f t="shared" si="182"/>
        <v/>
      </c>
      <c r="RC7" t="str">
        <f t="shared" si="183"/>
        <v/>
      </c>
      <c r="RD7" t="str">
        <f t="shared" si="184"/>
        <v/>
      </c>
      <c r="RE7" t="str">
        <f t="shared" si="185"/>
        <v/>
      </c>
      <c r="RF7" t="str">
        <f t="shared" si="186"/>
        <v/>
      </c>
      <c r="RG7" t="str">
        <f t="shared" si="187"/>
        <v/>
      </c>
      <c r="RH7" t="str">
        <f t="shared" si="188"/>
        <v/>
      </c>
      <c r="RI7" t="str">
        <f t="shared" si="189"/>
        <v/>
      </c>
      <c r="RJ7" t="str">
        <f t="shared" si="190"/>
        <v/>
      </c>
      <c r="RK7" t="str">
        <f t="shared" si="191"/>
        <v/>
      </c>
      <c r="RL7" t="str">
        <f t="shared" si="192"/>
        <v/>
      </c>
      <c r="RM7" t="str">
        <f t="shared" si="193"/>
        <v/>
      </c>
      <c r="RN7" t="str">
        <f t="shared" si="194"/>
        <v/>
      </c>
      <c r="RO7" t="str">
        <f t="shared" si="195"/>
        <v/>
      </c>
      <c r="RP7" t="str">
        <f t="shared" si="196"/>
        <v/>
      </c>
      <c r="RQ7" t="str">
        <f t="shared" si="197"/>
        <v/>
      </c>
      <c r="RR7" t="str">
        <f t="shared" si="198"/>
        <v/>
      </c>
      <c r="RS7" t="str">
        <f t="shared" si="199"/>
        <v/>
      </c>
      <c r="RT7" t="str">
        <f t="shared" si="200"/>
        <v/>
      </c>
      <c r="RU7" t="str">
        <f t="shared" si="201"/>
        <v/>
      </c>
      <c r="RV7" t="str">
        <f t="shared" si="202"/>
        <v/>
      </c>
      <c r="RW7" t="str">
        <f t="shared" si="203"/>
        <v/>
      </c>
      <c r="RX7" t="str">
        <f t="shared" si="204"/>
        <v/>
      </c>
      <c r="RY7" t="str">
        <f t="shared" si="205"/>
        <v/>
      </c>
      <c r="RZ7" t="str">
        <f t="shared" si="206"/>
        <v/>
      </c>
      <c r="SA7" t="str">
        <f t="shared" si="207"/>
        <v/>
      </c>
      <c r="SB7" t="str">
        <f t="shared" si="208"/>
        <v/>
      </c>
      <c r="SC7" t="str">
        <f t="shared" si="209"/>
        <v/>
      </c>
      <c r="SD7" t="str">
        <f t="shared" si="210"/>
        <v/>
      </c>
      <c r="SE7" t="str">
        <f t="shared" si="211"/>
        <v/>
      </c>
      <c r="SF7" t="str">
        <f t="shared" si="212"/>
        <v/>
      </c>
      <c r="SG7" t="str">
        <f t="shared" si="213"/>
        <v/>
      </c>
      <c r="SH7" t="str">
        <f t="shared" si="214"/>
        <v/>
      </c>
      <c r="SI7" t="str">
        <f t="shared" si="215"/>
        <v/>
      </c>
      <c r="SJ7" t="str">
        <f t="shared" si="216"/>
        <v/>
      </c>
      <c r="SK7" t="str">
        <f t="shared" si="217"/>
        <v/>
      </c>
      <c r="SL7" t="str">
        <f t="shared" si="218"/>
        <v/>
      </c>
      <c r="SM7" t="str">
        <f t="shared" si="219"/>
        <v/>
      </c>
      <c r="SN7" t="str">
        <f t="shared" si="220"/>
        <v/>
      </c>
      <c r="SO7" t="str">
        <f t="shared" si="221"/>
        <v/>
      </c>
      <c r="SP7" t="str">
        <f t="shared" si="222"/>
        <v/>
      </c>
    </row>
    <row r="8" spans="2:510" x14ac:dyDescent="0.3">
      <c r="B8" t="s">
        <v>14</v>
      </c>
      <c r="C8" cm="1" vm="4">
        <f t="array" aca="1" ref="C8" ca="1">INDEX(_xlfn.ANCHORARRAY(G8),D8)</f>
        <v>226.5</v>
      </c>
      <c r="D8">
        <f t="shared" ca="1" si="223"/>
        <v>19</v>
      </c>
      <c r="F8" t="s">
        <v>5</v>
      </c>
      <c r="G8" cm="1" vm="25">
        <f t="array" aca="1" ref="G8:Y8" ca="1">TRANSPOSE(_xlfn.STOCKHISTORY(F8,$H$4,G$4,0,0,1))</f>
        <v>229.53</v>
      </c>
      <c r="H8" vm="46">
        <f ca="1"/>
        <v>226.89</v>
      </c>
      <c r="I8" vm="67">
        <f ca="1"/>
        <v>227.92</v>
      </c>
      <c r="J8" vm="87">
        <f ca="1"/>
        <v>231.78</v>
      </c>
      <c r="K8" vm="108">
        <f ca="1"/>
        <v>230.28</v>
      </c>
      <c r="L8" vm="129">
        <f ca="1"/>
        <v>226.19</v>
      </c>
      <c r="M8" vm="150">
        <f ca="1"/>
        <v>222.54</v>
      </c>
      <c r="N8" vm="171">
        <f ca="1"/>
        <v>222.56</v>
      </c>
      <c r="O8" vm="192">
        <f ca="1"/>
        <v>221.27</v>
      </c>
      <c r="P8" vm="213">
        <f ca="1"/>
        <v>226.76</v>
      </c>
      <c r="Q8" vm="234">
        <f ca="1"/>
        <v>227.35</v>
      </c>
      <c r="R8" vm="255">
        <f ca="1"/>
        <v>228.43</v>
      </c>
      <c r="S8" vm="276">
        <f ca="1"/>
        <v>232.14</v>
      </c>
      <c r="T8" vm="297">
        <f ca="1"/>
        <v>232.38</v>
      </c>
      <c r="U8" vm="317">
        <f ca="1"/>
        <v>232.52</v>
      </c>
      <c r="V8" vm="338">
        <f ca="1"/>
        <v>232.07</v>
      </c>
      <c r="W8" vm="358">
        <f ca="1"/>
        <v>232.53</v>
      </c>
      <c r="X8" vm="379">
        <f ca="1"/>
        <v>230.82</v>
      </c>
      <c r="Y8" vm="4">
        <f ca="1"/>
        <v>226.5</v>
      </c>
      <c r="KB8" t="str">
        <f t="shared" si="0"/>
        <v/>
      </c>
      <c r="KC8" t="str">
        <f t="shared" si="1"/>
        <v/>
      </c>
      <c r="KD8" t="str">
        <f t="shared" si="2"/>
        <v/>
      </c>
      <c r="KE8" t="str">
        <f t="shared" si="3"/>
        <v/>
      </c>
      <c r="KF8" t="str">
        <f t="shared" si="4"/>
        <v/>
      </c>
      <c r="KG8" t="str">
        <f t="shared" si="5"/>
        <v/>
      </c>
      <c r="KH8" t="str">
        <f t="shared" si="6"/>
        <v/>
      </c>
      <c r="KI8" t="str">
        <f t="shared" si="7"/>
        <v/>
      </c>
      <c r="KJ8" t="str">
        <f t="shared" si="8"/>
        <v/>
      </c>
      <c r="KK8" t="str">
        <f t="shared" si="9"/>
        <v/>
      </c>
      <c r="KL8" t="str">
        <f t="shared" si="10"/>
        <v/>
      </c>
      <c r="KM8" t="str">
        <f t="shared" si="11"/>
        <v/>
      </c>
      <c r="KN8" t="str">
        <f t="shared" si="12"/>
        <v/>
      </c>
      <c r="KO8" t="str">
        <f t="shared" si="13"/>
        <v/>
      </c>
      <c r="KP8" t="str">
        <f t="shared" si="14"/>
        <v/>
      </c>
      <c r="KQ8" t="str">
        <f t="shared" si="15"/>
        <v/>
      </c>
      <c r="KR8" t="str">
        <f t="shared" si="16"/>
        <v/>
      </c>
      <c r="KS8" t="str">
        <f t="shared" si="17"/>
        <v/>
      </c>
      <c r="KT8" t="str">
        <f t="shared" si="18"/>
        <v/>
      </c>
      <c r="KU8" t="str">
        <f t="shared" si="19"/>
        <v/>
      </c>
      <c r="KV8" t="str">
        <f t="shared" si="20"/>
        <v/>
      </c>
      <c r="KW8" t="str">
        <f t="shared" si="21"/>
        <v/>
      </c>
      <c r="KX8" t="str">
        <f t="shared" si="22"/>
        <v/>
      </c>
      <c r="KY8" t="str">
        <f t="shared" si="23"/>
        <v/>
      </c>
      <c r="KZ8" t="str">
        <f t="shared" si="24"/>
        <v/>
      </c>
      <c r="LA8" t="str">
        <f t="shared" si="25"/>
        <v/>
      </c>
      <c r="LB8" t="str">
        <f t="shared" si="26"/>
        <v/>
      </c>
      <c r="LC8" t="str">
        <f t="shared" si="27"/>
        <v/>
      </c>
      <c r="LD8" t="str">
        <f t="shared" si="28"/>
        <v/>
      </c>
      <c r="LE8" t="str">
        <f t="shared" si="29"/>
        <v/>
      </c>
      <c r="LF8" t="str">
        <f t="shared" si="30"/>
        <v/>
      </c>
      <c r="LG8" t="str">
        <f t="shared" si="31"/>
        <v/>
      </c>
      <c r="LH8" t="str">
        <f t="shared" si="32"/>
        <v/>
      </c>
      <c r="LI8" t="str">
        <f t="shared" si="33"/>
        <v/>
      </c>
      <c r="LJ8" t="str">
        <f t="shared" si="34"/>
        <v/>
      </c>
      <c r="LK8" t="str">
        <f t="shared" si="35"/>
        <v/>
      </c>
      <c r="LL8" t="str">
        <f t="shared" si="36"/>
        <v/>
      </c>
      <c r="LM8" t="str">
        <f t="shared" si="37"/>
        <v/>
      </c>
      <c r="LN8" t="str">
        <f t="shared" si="38"/>
        <v/>
      </c>
      <c r="LO8" t="str">
        <f t="shared" si="39"/>
        <v/>
      </c>
      <c r="LP8" t="str">
        <f t="shared" si="40"/>
        <v/>
      </c>
      <c r="LQ8" t="str">
        <f t="shared" si="41"/>
        <v/>
      </c>
      <c r="LR8" t="str">
        <f t="shared" si="42"/>
        <v/>
      </c>
      <c r="LS8" t="str">
        <f t="shared" si="43"/>
        <v/>
      </c>
      <c r="LT8" t="str">
        <f t="shared" si="44"/>
        <v/>
      </c>
      <c r="LU8" t="str">
        <f t="shared" si="45"/>
        <v/>
      </c>
      <c r="LV8" t="str">
        <f t="shared" si="46"/>
        <v/>
      </c>
      <c r="LW8" t="str">
        <f t="shared" si="47"/>
        <v/>
      </c>
      <c r="LX8" t="str">
        <f t="shared" si="48"/>
        <v/>
      </c>
      <c r="LY8" t="str">
        <f t="shared" si="49"/>
        <v/>
      </c>
      <c r="LZ8" t="str">
        <f t="shared" si="50"/>
        <v/>
      </c>
      <c r="MA8" t="str">
        <f t="shared" si="51"/>
        <v/>
      </c>
      <c r="MB8" t="str">
        <f t="shared" si="52"/>
        <v/>
      </c>
      <c r="MC8" t="str">
        <f t="shared" si="53"/>
        <v/>
      </c>
      <c r="MD8" t="str">
        <f t="shared" si="54"/>
        <v/>
      </c>
      <c r="ME8" t="str">
        <f t="shared" si="55"/>
        <v/>
      </c>
      <c r="MF8" t="str">
        <f t="shared" si="56"/>
        <v/>
      </c>
      <c r="MG8" t="str">
        <f t="shared" si="57"/>
        <v/>
      </c>
      <c r="MH8" t="str">
        <f t="shared" si="58"/>
        <v/>
      </c>
      <c r="MI8" t="str">
        <f t="shared" si="59"/>
        <v/>
      </c>
      <c r="MJ8" t="str">
        <f t="shared" si="60"/>
        <v/>
      </c>
      <c r="MK8" t="str">
        <f t="shared" si="61"/>
        <v/>
      </c>
      <c r="ML8" t="str">
        <f t="shared" si="62"/>
        <v/>
      </c>
      <c r="MM8" t="str">
        <f t="shared" si="63"/>
        <v/>
      </c>
      <c r="MN8" t="str">
        <f t="shared" si="64"/>
        <v/>
      </c>
      <c r="MO8" t="str">
        <f t="shared" si="65"/>
        <v/>
      </c>
      <c r="MP8" t="str">
        <f t="shared" si="66"/>
        <v/>
      </c>
      <c r="MQ8" t="str">
        <f t="shared" si="67"/>
        <v/>
      </c>
      <c r="MR8" t="str">
        <f t="shared" si="68"/>
        <v/>
      </c>
      <c r="MS8" t="str">
        <f t="shared" si="69"/>
        <v/>
      </c>
      <c r="MT8" t="str">
        <f t="shared" si="70"/>
        <v/>
      </c>
      <c r="MU8" t="str">
        <f t="shared" si="71"/>
        <v/>
      </c>
      <c r="MV8" t="str">
        <f t="shared" si="72"/>
        <v/>
      </c>
      <c r="MW8" t="str">
        <f t="shared" si="73"/>
        <v/>
      </c>
      <c r="MX8" t="str">
        <f t="shared" si="74"/>
        <v/>
      </c>
      <c r="MY8" t="str">
        <f t="shared" si="75"/>
        <v/>
      </c>
      <c r="MZ8" t="str">
        <f t="shared" si="76"/>
        <v/>
      </c>
      <c r="NA8" t="str">
        <f t="shared" si="77"/>
        <v/>
      </c>
      <c r="NB8" t="str">
        <f t="shared" si="78"/>
        <v/>
      </c>
      <c r="NC8" t="str">
        <f t="shared" si="79"/>
        <v/>
      </c>
      <c r="ND8" t="str">
        <f t="shared" si="80"/>
        <v/>
      </c>
      <c r="NE8" t="str">
        <f t="shared" si="81"/>
        <v/>
      </c>
      <c r="NF8" t="str">
        <f t="shared" si="82"/>
        <v/>
      </c>
      <c r="NG8" t="str">
        <f t="shared" si="83"/>
        <v/>
      </c>
      <c r="NH8" t="str">
        <f t="shared" si="84"/>
        <v/>
      </c>
      <c r="NI8" t="str">
        <f t="shared" si="85"/>
        <v/>
      </c>
      <c r="NJ8" t="str">
        <f t="shared" si="86"/>
        <v/>
      </c>
      <c r="NK8" t="str">
        <f t="shared" si="87"/>
        <v/>
      </c>
      <c r="NL8" t="str">
        <f t="shared" si="88"/>
        <v/>
      </c>
      <c r="NM8" t="str">
        <f t="shared" si="89"/>
        <v/>
      </c>
      <c r="NN8" t="str">
        <f t="shared" si="90"/>
        <v/>
      </c>
      <c r="NO8" t="str">
        <f t="shared" si="91"/>
        <v/>
      </c>
      <c r="NP8" t="str">
        <f t="shared" si="92"/>
        <v/>
      </c>
      <c r="NQ8" t="str">
        <f t="shared" si="93"/>
        <v/>
      </c>
      <c r="NR8" t="str">
        <f t="shared" si="94"/>
        <v/>
      </c>
      <c r="NS8" t="str">
        <f t="shared" si="95"/>
        <v/>
      </c>
      <c r="NT8" t="str">
        <f t="shared" si="96"/>
        <v/>
      </c>
      <c r="NU8" t="str">
        <f t="shared" si="97"/>
        <v/>
      </c>
      <c r="NV8" t="str">
        <f t="shared" si="98"/>
        <v/>
      </c>
      <c r="NW8" t="str">
        <f t="shared" si="99"/>
        <v/>
      </c>
      <c r="NX8" t="str">
        <f t="shared" si="100"/>
        <v/>
      </c>
      <c r="NY8" t="str">
        <f t="shared" si="101"/>
        <v/>
      </c>
      <c r="NZ8" t="str">
        <f t="shared" si="102"/>
        <v/>
      </c>
      <c r="OA8" t="str">
        <f t="shared" si="103"/>
        <v/>
      </c>
      <c r="OB8" t="str">
        <f t="shared" si="104"/>
        <v/>
      </c>
      <c r="OC8" t="str">
        <f t="shared" si="105"/>
        <v/>
      </c>
      <c r="OD8" t="str">
        <f t="shared" si="106"/>
        <v/>
      </c>
      <c r="OE8" t="str">
        <f t="shared" si="107"/>
        <v/>
      </c>
      <c r="OF8" t="str">
        <f t="shared" si="108"/>
        <v/>
      </c>
      <c r="OG8" t="str">
        <f t="shared" si="109"/>
        <v/>
      </c>
      <c r="OH8" t="str">
        <f t="shared" si="110"/>
        <v/>
      </c>
      <c r="OI8" t="str">
        <f t="shared" si="111"/>
        <v/>
      </c>
      <c r="OJ8" t="str">
        <f t="shared" si="112"/>
        <v/>
      </c>
      <c r="OK8" t="str">
        <f t="shared" si="113"/>
        <v/>
      </c>
      <c r="OL8" t="str">
        <f t="shared" si="114"/>
        <v/>
      </c>
      <c r="OM8" t="str">
        <f t="shared" si="115"/>
        <v/>
      </c>
      <c r="ON8" t="str">
        <f t="shared" si="116"/>
        <v/>
      </c>
      <c r="OO8" t="str">
        <f t="shared" si="117"/>
        <v/>
      </c>
      <c r="OP8" t="str">
        <f t="shared" si="118"/>
        <v/>
      </c>
      <c r="OQ8" t="str">
        <f t="shared" si="119"/>
        <v/>
      </c>
      <c r="OR8" t="str">
        <f t="shared" si="120"/>
        <v/>
      </c>
      <c r="OS8" t="str">
        <f t="shared" si="121"/>
        <v/>
      </c>
      <c r="OT8" t="str">
        <f t="shared" si="122"/>
        <v/>
      </c>
      <c r="OU8" t="str">
        <f t="shared" si="123"/>
        <v/>
      </c>
      <c r="OV8" t="str">
        <f t="shared" si="124"/>
        <v/>
      </c>
      <c r="OW8" t="str">
        <f t="shared" si="125"/>
        <v/>
      </c>
      <c r="OX8" t="str">
        <f t="shared" si="126"/>
        <v/>
      </c>
      <c r="OY8" t="str">
        <f t="shared" si="127"/>
        <v/>
      </c>
      <c r="OZ8" t="str">
        <f t="shared" si="128"/>
        <v/>
      </c>
      <c r="PA8" t="str">
        <f t="shared" si="129"/>
        <v/>
      </c>
      <c r="PB8" t="str">
        <f t="shared" si="130"/>
        <v/>
      </c>
      <c r="PC8" t="str">
        <f t="shared" si="131"/>
        <v/>
      </c>
      <c r="PD8" t="str">
        <f t="shared" si="132"/>
        <v/>
      </c>
      <c r="PE8" t="str">
        <f t="shared" si="133"/>
        <v/>
      </c>
      <c r="PF8" t="str">
        <f t="shared" si="134"/>
        <v/>
      </c>
      <c r="PG8" t="str">
        <f t="shared" si="135"/>
        <v/>
      </c>
      <c r="PH8" t="str">
        <f t="shared" si="136"/>
        <v/>
      </c>
      <c r="PI8" t="str">
        <f t="shared" si="137"/>
        <v/>
      </c>
      <c r="PJ8" t="str">
        <f t="shared" si="138"/>
        <v/>
      </c>
      <c r="PK8" t="str">
        <f t="shared" si="139"/>
        <v/>
      </c>
      <c r="PL8" t="str">
        <f t="shared" si="140"/>
        <v/>
      </c>
      <c r="PM8" t="str">
        <f t="shared" si="141"/>
        <v/>
      </c>
      <c r="PN8" t="str">
        <f t="shared" si="142"/>
        <v/>
      </c>
      <c r="PO8" t="str">
        <f t="shared" si="143"/>
        <v/>
      </c>
      <c r="PP8" t="str">
        <f t="shared" si="144"/>
        <v/>
      </c>
      <c r="PQ8" t="str">
        <f t="shared" si="145"/>
        <v/>
      </c>
      <c r="PR8" t="str">
        <f t="shared" si="146"/>
        <v/>
      </c>
      <c r="PS8" t="str">
        <f t="shared" si="147"/>
        <v/>
      </c>
      <c r="PT8" t="str">
        <f t="shared" si="148"/>
        <v/>
      </c>
      <c r="PU8" t="str">
        <f t="shared" si="149"/>
        <v/>
      </c>
      <c r="PV8" t="str">
        <f t="shared" si="150"/>
        <v/>
      </c>
      <c r="PW8" t="str">
        <f t="shared" si="151"/>
        <v/>
      </c>
      <c r="PX8" t="str">
        <f t="shared" si="152"/>
        <v/>
      </c>
      <c r="PY8" t="str">
        <f t="shared" si="153"/>
        <v/>
      </c>
      <c r="PZ8" t="str">
        <f t="shared" si="154"/>
        <v/>
      </c>
      <c r="QA8" t="str">
        <f t="shared" si="155"/>
        <v/>
      </c>
      <c r="QB8" t="str">
        <f t="shared" si="156"/>
        <v/>
      </c>
      <c r="QC8" t="str">
        <f t="shared" si="157"/>
        <v/>
      </c>
      <c r="QD8" t="str">
        <f t="shared" si="158"/>
        <v/>
      </c>
      <c r="QE8" t="str">
        <f t="shared" si="159"/>
        <v/>
      </c>
      <c r="QF8" t="str">
        <f t="shared" si="160"/>
        <v/>
      </c>
      <c r="QG8" t="str">
        <f t="shared" si="161"/>
        <v/>
      </c>
      <c r="QH8" t="str">
        <f t="shared" si="162"/>
        <v/>
      </c>
      <c r="QI8" t="str">
        <f t="shared" si="163"/>
        <v/>
      </c>
      <c r="QJ8" t="str">
        <f t="shared" si="164"/>
        <v/>
      </c>
      <c r="QK8" t="str">
        <f t="shared" si="165"/>
        <v/>
      </c>
      <c r="QL8" t="str">
        <f t="shared" si="166"/>
        <v/>
      </c>
      <c r="QM8" t="str">
        <f t="shared" si="167"/>
        <v/>
      </c>
      <c r="QN8" t="str">
        <f t="shared" si="168"/>
        <v/>
      </c>
      <c r="QO8" t="str">
        <f t="shared" si="169"/>
        <v/>
      </c>
      <c r="QP8" t="str">
        <f t="shared" si="170"/>
        <v/>
      </c>
      <c r="QQ8" t="str">
        <f t="shared" si="171"/>
        <v/>
      </c>
      <c r="QR8" t="str">
        <f t="shared" si="172"/>
        <v/>
      </c>
      <c r="QS8" t="str">
        <f t="shared" si="173"/>
        <v/>
      </c>
      <c r="QT8" t="str">
        <f t="shared" si="174"/>
        <v/>
      </c>
      <c r="QU8" t="str">
        <f t="shared" si="175"/>
        <v/>
      </c>
      <c r="QV8" t="str">
        <f t="shared" si="176"/>
        <v/>
      </c>
      <c r="QW8" t="str">
        <f t="shared" si="177"/>
        <v/>
      </c>
      <c r="QX8" t="str">
        <f t="shared" si="178"/>
        <v/>
      </c>
      <c r="QY8" t="str">
        <f t="shared" si="179"/>
        <v/>
      </c>
      <c r="QZ8" t="str">
        <f t="shared" si="180"/>
        <v/>
      </c>
      <c r="RA8" t="str">
        <f t="shared" si="181"/>
        <v/>
      </c>
      <c r="RB8" t="str">
        <f t="shared" si="182"/>
        <v/>
      </c>
      <c r="RC8" t="str">
        <f t="shared" si="183"/>
        <v/>
      </c>
      <c r="RD8" t="str">
        <f t="shared" si="184"/>
        <v/>
      </c>
      <c r="RE8" t="str">
        <f t="shared" si="185"/>
        <v/>
      </c>
      <c r="RF8" t="str">
        <f t="shared" si="186"/>
        <v/>
      </c>
      <c r="RG8" t="str">
        <f t="shared" si="187"/>
        <v/>
      </c>
      <c r="RH8" t="str">
        <f t="shared" si="188"/>
        <v/>
      </c>
      <c r="RI8" t="str">
        <f t="shared" si="189"/>
        <v/>
      </c>
      <c r="RJ8" t="str">
        <f t="shared" si="190"/>
        <v/>
      </c>
      <c r="RK8" t="str">
        <f t="shared" si="191"/>
        <v/>
      </c>
      <c r="RL8" t="str">
        <f t="shared" si="192"/>
        <v/>
      </c>
      <c r="RM8" t="str">
        <f t="shared" si="193"/>
        <v/>
      </c>
      <c r="RN8" t="str">
        <f t="shared" si="194"/>
        <v/>
      </c>
      <c r="RO8" t="str">
        <f t="shared" si="195"/>
        <v/>
      </c>
      <c r="RP8" t="str">
        <f t="shared" si="196"/>
        <v/>
      </c>
      <c r="RQ8" t="str">
        <f t="shared" si="197"/>
        <v/>
      </c>
      <c r="RR8" t="str">
        <f t="shared" si="198"/>
        <v/>
      </c>
      <c r="RS8" t="str">
        <f t="shared" si="199"/>
        <v/>
      </c>
      <c r="RT8" t="str">
        <f t="shared" si="200"/>
        <v/>
      </c>
      <c r="RU8" t="str">
        <f t="shared" si="201"/>
        <v/>
      </c>
      <c r="RV8" t="str">
        <f t="shared" si="202"/>
        <v/>
      </c>
      <c r="RW8" t="str">
        <f t="shared" si="203"/>
        <v/>
      </c>
      <c r="RX8" t="str">
        <f t="shared" si="204"/>
        <v/>
      </c>
      <c r="RY8" t="str">
        <f t="shared" si="205"/>
        <v/>
      </c>
      <c r="RZ8" t="str">
        <f t="shared" si="206"/>
        <v/>
      </c>
      <c r="SA8" t="str">
        <f t="shared" si="207"/>
        <v/>
      </c>
      <c r="SB8" t="str">
        <f t="shared" si="208"/>
        <v/>
      </c>
      <c r="SC8" t="str">
        <f t="shared" si="209"/>
        <v/>
      </c>
      <c r="SD8" t="str">
        <f t="shared" si="210"/>
        <v/>
      </c>
      <c r="SE8" t="str">
        <f t="shared" si="211"/>
        <v/>
      </c>
      <c r="SF8" t="str">
        <f t="shared" si="212"/>
        <v/>
      </c>
      <c r="SG8" t="str">
        <f t="shared" si="213"/>
        <v/>
      </c>
      <c r="SH8" t="str">
        <f t="shared" si="214"/>
        <v/>
      </c>
      <c r="SI8" t="str">
        <f t="shared" si="215"/>
        <v/>
      </c>
      <c r="SJ8" t="str">
        <f t="shared" si="216"/>
        <v/>
      </c>
      <c r="SK8" t="str">
        <f t="shared" si="217"/>
        <v/>
      </c>
      <c r="SL8" t="str">
        <f t="shared" si="218"/>
        <v/>
      </c>
      <c r="SM8" t="str">
        <f t="shared" si="219"/>
        <v/>
      </c>
      <c r="SN8" t="str">
        <f t="shared" si="220"/>
        <v/>
      </c>
      <c r="SO8" t="str">
        <f t="shared" si="221"/>
        <v/>
      </c>
      <c r="SP8" t="str">
        <f t="shared" si="222"/>
        <v/>
      </c>
    </row>
    <row r="9" spans="2:510" x14ac:dyDescent="0.3">
      <c r="B9" t="s">
        <v>15</v>
      </c>
      <c r="C9" cm="1" vm="5">
        <f t="array" aca="1" ref="C9" ca="1">INDEX(_xlfn.ANCHORARRAY(G9),D9)</f>
        <v>315.14999999999998</v>
      </c>
      <c r="D9">
        <f t="shared" ca="1" si="223"/>
        <v>19</v>
      </c>
      <c r="F9" t="s">
        <v>3</v>
      </c>
      <c r="G9" cm="1" vm="26">
        <f t="array" aca="1" ref="G9:Y9" ca="1">TRANSPOSE(_xlfn.STOCKHISTORY(F9,$H$4,G$4,0,0,1))</f>
        <v>321.27</v>
      </c>
      <c r="H9" vm="47">
        <f ca="1"/>
        <v>313.72000000000003</v>
      </c>
      <c r="I9" vm="68">
        <f ca="1"/>
        <v>317.08</v>
      </c>
      <c r="J9" vm="88">
        <f ca="1"/>
        <v>320.20999999999998</v>
      </c>
      <c r="K9" vm="109">
        <f ca="1"/>
        <v>312.43</v>
      </c>
      <c r="L9" vm="130">
        <f ca="1"/>
        <v>309.29000000000002</v>
      </c>
      <c r="M9" vm="151">
        <f ca="1"/>
        <v>308.22000000000003</v>
      </c>
      <c r="N9" vm="172">
        <f ca="1"/>
        <v>306.57</v>
      </c>
      <c r="O9" vm="193">
        <f ca="1"/>
        <v>296.72000000000003</v>
      </c>
      <c r="P9" vm="214">
        <f ca="1"/>
        <v>302.45999999999998</v>
      </c>
      <c r="Q9" vm="235">
        <f ca="1"/>
        <v>307.16000000000003</v>
      </c>
      <c r="R9" vm="256">
        <f ca="1"/>
        <v>309.77999999999997</v>
      </c>
      <c r="S9" vm="277">
        <f ca="1"/>
        <v>314.35000000000002</v>
      </c>
      <c r="T9" vm="298">
        <f ca="1"/>
        <v>314.08999999999997</v>
      </c>
      <c r="U9" vm="318">
        <f ca="1"/>
        <v>313.51</v>
      </c>
      <c r="V9" vm="339">
        <f ca="1"/>
        <v>313.56</v>
      </c>
      <c r="W9" vm="359">
        <f ca="1"/>
        <v>313.85000000000002</v>
      </c>
      <c r="X9" vm="380">
        <f ca="1"/>
        <v>313</v>
      </c>
      <c r="Y9" vm="5">
        <f ca="1"/>
        <v>315.14999999999998</v>
      </c>
      <c r="KB9" t="str">
        <f t="shared" si="0"/>
        <v/>
      </c>
      <c r="KC9" t="str">
        <f t="shared" si="1"/>
        <v/>
      </c>
      <c r="KD9" t="str">
        <f t="shared" si="2"/>
        <v/>
      </c>
      <c r="KE9" t="str">
        <f t="shared" si="3"/>
        <v/>
      </c>
      <c r="KF9" t="str">
        <f t="shared" si="4"/>
        <v/>
      </c>
      <c r="KG9" t="str">
        <f t="shared" si="5"/>
        <v/>
      </c>
      <c r="KH9" t="str">
        <f t="shared" si="6"/>
        <v/>
      </c>
      <c r="KI9" t="str">
        <f t="shared" si="7"/>
        <v/>
      </c>
      <c r="KJ9" t="str">
        <f t="shared" si="8"/>
        <v/>
      </c>
      <c r="KK9" t="str">
        <f t="shared" si="9"/>
        <v/>
      </c>
      <c r="KL9" t="str">
        <f t="shared" si="10"/>
        <v/>
      </c>
      <c r="KM9" t="str">
        <f t="shared" si="11"/>
        <v/>
      </c>
      <c r="KN9" t="str">
        <f t="shared" si="12"/>
        <v/>
      </c>
      <c r="KO9" t="str">
        <f t="shared" si="13"/>
        <v/>
      </c>
      <c r="KP9" t="str">
        <f t="shared" si="14"/>
        <v/>
      </c>
      <c r="KQ9" t="str">
        <f t="shared" si="15"/>
        <v/>
      </c>
      <c r="KR9" t="str">
        <f t="shared" si="16"/>
        <v/>
      </c>
      <c r="KS9" t="str">
        <f t="shared" si="17"/>
        <v/>
      </c>
      <c r="KT9" t="str">
        <f t="shared" si="18"/>
        <v/>
      </c>
      <c r="KU9" t="str">
        <f t="shared" si="19"/>
        <v/>
      </c>
      <c r="KV9" t="str">
        <f t="shared" si="20"/>
        <v/>
      </c>
      <c r="KW9" t="str">
        <f t="shared" si="21"/>
        <v/>
      </c>
      <c r="KX9" t="str">
        <f t="shared" si="22"/>
        <v/>
      </c>
      <c r="KY9" t="str">
        <f t="shared" si="23"/>
        <v/>
      </c>
      <c r="KZ9" t="str">
        <f t="shared" si="24"/>
        <v/>
      </c>
      <c r="LA9" t="str">
        <f t="shared" si="25"/>
        <v/>
      </c>
      <c r="LB9" t="str">
        <f t="shared" si="26"/>
        <v/>
      </c>
      <c r="LC9" t="str">
        <f t="shared" si="27"/>
        <v/>
      </c>
      <c r="LD9" t="str">
        <f t="shared" si="28"/>
        <v/>
      </c>
      <c r="LE9" t="str">
        <f t="shared" si="29"/>
        <v/>
      </c>
      <c r="LF9" t="str">
        <f t="shared" si="30"/>
        <v/>
      </c>
      <c r="LG9" t="str">
        <f t="shared" si="31"/>
        <v/>
      </c>
      <c r="LH9" t="str">
        <f t="shared" si="32"/>
        <v/>
      </c>
      <c r="LI9" t="str">
        <f t="shared" si="33"/>
        <v/>
      </c>
      <c r="LJ9" t="str">
        <f t="shared" si="34"/>
        <v/>
      </c>
      <c r="LK9" t="str">
        <f t="shared" si="35"/>
        <v/>
      </c>
      <c r="LL9" t="str">
        <f t="shared" si="36"/>
        <v/>
      </c>
      <c r="LM9" t="str">
        <f t="shared" si="37"/>
        <v/>
      </c>
      <c r="LN9" t="str">
        <f t="shared" si="38"/>
        <v/>
      </c>
      <c r="LO9" t="str">
        <f t="shared" si="39"/>
        <v/>
      </c>
      <c r="LP9" t="str">
        <f t="shared" si="40"/>
        <v/>
      </c>
      <c r="LQ9" t="str">
        <f t="shared" si="41"/>
        <v/>
      </c>
      <c r="LR9" t="str">
        <f t="shared" si="42"/>
        <v/>
      </c>
      <c r="LS9" t="str">
        <f t="shared" si="43"/>
        <v/>
      </c>
      <c r="LT9" t="str">
        <f t="shared" si="44"/>
        <v/>
      </c>
      <c r="LU9" t="str">
        <f t="shared" si="45"/>
        <v/>
      </c>
      <c r="LV9" t="str">
        <f t="shared" si="46"/>
        <v/>
      </c>
      <c r="LW9" t="str">
        <f t="shared" si="47"/>
        <v/>
      </c>
      <c r="LX9" t="str">
        <f t="shared" si="48"/>
        <v/>
      </c>
      <c r="LY9" t="str">
        <f t="shared" si="49"/>
        <v/>
      </c>
      <c r="LZ9" t="str">
        <f t="shared" si="50"/>
        <v/>
      </c>
      <c r="MA9" t="str">
        <f t="shared" si="51"/>
        <v/>
      </c>
      <c r="MB9" t="str">
        <f t="shared" si="52"/>
        <v/>
      </c>
      <c r="MC9" t="str">
        <f t="shared" si="53"/>
        <v/>
      </c>
      <c r="MD9" t="str">
        <f t="shared" si="54"/>
        <v/>
      </c>
      <c r="ME9" t="str">
        <f t="shared" si="55"/>
        <v/>
      </c>
      <c r="MF9" t="str">
        <f t="shared" si="56"/>
        <v/>
      </c>
      <c r="MG9" t="str">
        <f t="shared" si="57"/>
        <v/>
      </c>
      <c r="MH9" t="str">
        <f t="shared" si="58"/>
        <v/>
      </c>
      <c r="MI9" t="str">
        <f t="shared" si="59"/>
        <v/>
      </c>
      <c r="MJ9" t="str">
        <f t="shared" si="60"/>
        <v/>
      </c>
      <c r="MK9" t="str">
        <f t="shared" si="61"/>
        <v/>
      </c>
      <c r="ML9" t="str">
        <f t="shared" si="62"/>
        <v/>
      </c>
      <c r="MM9" t="str">
        <f t="shared" si="63"/>
        <v/>
      </c>
      <c r="MN9" t="str">
        <f t="shared" si="64"/>
        <v/>
      </c>
      <c r="MO9" t="str">
        <f t="shared" si="65"/>
        <v/>
      </c>
      <c r="MP9" t="str">
        <f t="shared" si="66"/>
        <v/>
      </c>
      <c r="MQ9" t="str">
        <f t="shared" si="67"/>
        <v/>
      </c>
      <c r="MR9" t="str">
        <f t="shared" si="68"/>
        <v/>
      </c>
      <c r="MS9" t="str">
        <f t="shared" si="69"/>
        <v/>
      </c>
      <c r="MT9" t="str">
        <f t="shared" si="70"/>
        <v/>
      </c>
      <c r="MU9" t="str">
        <f t="shared" si="71"/>
        <v/>
      </c>
      <c r="MV9" t="str">
        <f t="shared" si="72"/>
        <v/>
      </c>
      <c r="MW9" t="str">
        <f t="shared" si="73"/>
        <v/>
      </c>
      <c r="MX9" t="str">
        <f t="shared" si="74"/>
        <v/>
      </c>
      <c r="MY9" t="str">
        <f t="shared" si="75"/>
        <v/>
      </c>
      <c r="MZ9" t="str">
        <f t="shared" si="76"/>
        <v/>
      </c>
      <c r="NA9" t="str">
        <f t="shared" si="77"/>
        <v/>
      </c>
      <c r="NB9" t="str">
        <f t="shared" si="78"/>
        <v/>
      </c>
      <c r="NC9" t="str">
        <f t="shared" si="79"/>
        <v/>
      </c>
      <c r="ND9" t="str">
        <f t="shared" si="80"/>
        <v/>
      </c>
      <c r="NE9" t="str">
        <f t="shared" si="81"/>
        <v/>
      </c>
      <c r="NF9" t="str">
        <f t="shared" si="82"/>
        <v/>
      </c>
      <c r="NG9" t="str">
        <f t="shared" si="83"/>
        <v/>
      </c>
      <c r="NH9" t="str">
        <f t="shared" si="84"/>
        <v/>
      </c>
      <c r="NI9" t="str">
        <f t="shared" si="85"/>
        <v/>
      </c>
      <c r="NJ9" t="str">
        <f t="shared" si="86"/>
        <v/>
      </c>
      <c r="NK9" t="str">
        <f t="shared" si="87"/>
        <v/>
      </c>
      <c r="NL9" t="str">
        <f t="shared" si="88"/>
        <v/>
      </c>
      <c r="NM9" t="str">
        <f t="shared" si="89"/>
        <v/>
      </c>
      <c r="NN9" t="str">
        <f t="shared" si="90"/>
        <v/>
      </c>
      <c r="NO9" t="str">
        <f t="shared" si="91"/>
        <v/>
      </c>
      <c r="NP9" t="str">
        <f t="shared" si="92"/>
        <v/>
      </c>
      <c r="NQ9" t="str">
        <f t="shared" si="93"/>
        <v/>
      </c>
      <c r="NR9" t="str">
        <f t="shared" si="94"/>
        <v/>
      </c>
      <c r="NS9" t="str">
        <f t="shared" si="95"/>
        <v/>
      </c>
      <c r="NT9" t="str">
        <f t="shared" si="96"/>
        <v/>
      </c>
      <c r="NU9" t="str">
        <f t="shared" si="97"/>
        <v/>
      </c>
      <c r="NV9" t="str">
        <f t="shared" si="98"/>
        <v/>
      </c>
      <c r="NW9" t="str">
        <f t="shared" si="99"/>
        <v/>
      </c>
      <c r="NX9" t="str">
        <f t="shared" si="100"/>
        <v/>
      </c>
      <c r="NY9" t="str">
        <f t="shared" si="101"/>
        <v/>
      </c>
      <c r="NZ9" t="str">
        <f t="shared" si="102"/>
        <v/>
      </c>
      <c r="OA9" t="str">
        <f t="shared" si="103"/>
        <v/>
      </c>
      <c r="OB9" t="str">
        <f t="shared" si="104"/>
        <v/>
      </c>
      <c r="OC9" t="str">
        <f t="shared" si="105"/>
        <v/>
      </c>
      <c r="OD9" t="str">
        <f t="shared" si="106"/>
        <v/>
      </c>
      <c r="OE9" t="str">
        <f t="shared" si="107"/>
        <v/>
      </c>
      <c r="OF9" t="str">
        <f t="shared" si="108"/>
        <v/>
      </c>
      <c r="OG9" t="str">
        <f t="shared" si="109"/>
        <v/>
      </c>
      <c r="OH9" t="str">
        <f t="shared" si="110"/>
        <v/>
      </c>
      <c r="OI9" t="str">
        <f t="shared" si="111"/>
        <v/>
      </c>
      <c r="OJ9" t="str">
        <f t="shared" si="112"/>
        <v/>
      </c>
      <c r="OK9" t="str">
        <f t="shared" si="113"/>
        <v/>
      </c>
      <c r="OL9" t="str">
        <f t="shared" si="114"/>
        <v/>
      </c>
      <c r="OM9" t="str">
        <f t="shared" si="115"/>
        <v/>
      </c>
      <c r="ON9" t="str">
        <f t="shared" si="116"/>
        <v/>
      </c>
      <c r="OO9" t="str">
        <f t="shared" si="117"/>
        <v/>
      </c>
      <c r="OP9" t="str">
        <f t="shared" si="118"/>
        <v/>
      </c>
      <c r="OQ9" t="str">
        <f t="shared" si="119"/>
        <v/>
      </c>
      <c r="OR9" t="str">
        <f t="shared" si="120"/>
        <v/>
      </c>
      <c r="OS9" t="str">
        <f t="shared" si="121"/>
        <v/>
      </c>
      <c r="OT9" t="str">
        <f t="shared" si="122"/>
        <v/>
      </c>
      <c r="OU9" t="str">
        <f t="shared" si="123"/>
        <v/>
      </c>
      <c r="OV9" t="str">
        <f t="shared" si="124"/>
        <v/>
      </c>
      <c r="OW9" t="str">
        <f t="shared" si="125"/>
        <v/>
      </c>
      <c r="OX9" t="str">
        <f t="shared" si="126"/>
        <v/>
      </c>
      <c r="OY9" t="str">
        <f t="shared" si="127"/>
        <v/>
      </c>
      <c r="OZ9" t="str">
        <f t="shared" si="128"/>
        <v/>
      </c>
      <c r="PA9" t="str">
        <f t="shared" si="129"/>
        <v/>
      </c>
      <c r="PB9" t="str">
        <f t="shared" si="130"/>
        <v/>
      </c>
      <c r="PC9" t="str">
        <f t="shared" si="131"/>
        <v/>
      </c>
      <c r="PD9" t="str">
        <f t="shared" si="132"/>
        <v/>
      </c>
      <c r="PE9" t="str">
        <f t="shared" si="133"/>
        <v/>
      </c>
      <c r="PF9" t="str">
        <f t="shared" si="134"/>
        <v/>
      </c>
      <c r="PG9" t="str">
        <f t="shared" si="135"/>
        <v/>
      </c>
      <c r="PH9" t="str">
        <f t="shared" si="136"/>
        <v/>
      </c>
      <c r="PI9" t="str">
        <f t="shared" si="137"/>
        <v/>
      </c>
      <c r="PJ9" t="str">
        <f t="shared" si="138"/>
        <v/>
      </c>
      <c r="PK9" t="str">
        <f t="shared" si="139"/>
        <v/>
      </c>
      <c r="PL9" t="str">
        <f t="shared" si="140"/>
        <v/>
      </c>
      <c r="PM9" t="str">
        <f t="shared" si="141"/>
        <v/>
      </c>
      <c r="PN9" t="str">
        <f t="shared" si="142"/>
        <v/>
      </c>
      <c r="PO9" t="str">
        <f t="shared" si="143"/>
        <v/>
      </c>
      <c r="PP9" t="str">
        <f t="shared" si="144"/>
        <v/>
      </c>
      <c r="PQ9" t="str">
        <f t="shared" si="145"/>
        <v/>
      </c>
      <c r="PR9" t="str">
        <f t="shared" si="146"/>
        <v/>
      </c>
      <c r="PS9" t="str">
        <f t="shared" si="147"/>
        <v/>
      </c>
      <c r="PT9" t="str">
        <f t="shared" si="148"/>
        <v/>
      </c>
      <c r="PU9" t="str">
        <f t="shared" si="149"/>
        <v/>
      </c>
      <c r="PV9" t="str">
        <f t="shared" si="150"/>
        <v/>
      </c>
      <c r="PW9" t="str">
        <f t="shared" si="151"/>
        <v/>
      </c>
      <c r="PX9" t="str">
        <f t="shared" si="152"/>
        <v/>
      </c>
      <c r="PY9" t="str">
        <f t="shared" si="153"/>
        <v/>
      </c>
      <c r="PZ9" t="str">
        <f t="shared" si="154"/>
        <v/>
      </c>
      <c r="QA9" t="str">
        <f t="shared" si="155"/>
        <v/>
      </c>
      <c r="QB9" t="str">
        <f t="shared" si="156"/>
        <v/>
      </c>
      <c r="QC9" t="str">
        <f t="shared" si="157"/>
        <v/>
      </c>
      <c r="QD9" t="str">
        <f t="shared" si="158"/>
        <v/>
      </c>
      <c r="QE9" t="str">
        <f t="shared" si="159"/>
        <v/>
      </c>
      <c r="QF9" t="str">
        <f t="shared" si="160"/>
        <v/>
      </c>
      <c r="QG9" t="str">
        <f t="shared" si="161"/>
        <v/>
      </c>
      <c r="QH9" t="str">
        <f t="shared" si="162"/>
        <v/>
      </c>
      <c r="QI9" t="str">
        <f t="shared" si="163"/>
        <v/>
      </c>
      <c r="QJ9" t="str">
        <f t="shared" si="164"/>
        <v/>
      </c>
      <c r="QK9" t="str">
        <f t="shared" si="165"/>
        <v/>
      </c>
      <c r="QL9" t="str">
        <f t="shared" si="166"/>
        <v/>
      </c>
      <c r="QM9" t="str">
        <f t="shared" si="167"/>
        <v/>
      </c>
      <c r="QN9" t="str">
        <f t="shared" si="168"/>
        <v/>
      </c>
      <c r="QO9" t="str">
        <f t="shared" si="169"/>
        <v/>
      </c>
      <c r="QP9" t="str">
        <f t="shared" si="170"/>
        <v/>
      </c>
      <c r="QQ9" t="str">
        <f t="shared" si="171"/>
        <v/>
      </c>
      <c r="QR9" t="str">
        <f t="shared" si="172"/>
        <v/>
      </c>
      <c r="QS9" t="str">
        <f t="shared" si="173"/>
        <v/>
      </c>
      <c r="QT9" t="str">
        <f t="shared" si="174"/>
        <v/>
      </c>
      <c r="QU9" t="str">
        <f t="shared" si="175"/>
        <v/>
      </c>
      <c r="QV9" t="str">
        <f t="shared" si="176"/>
        <v/>
      </c>
      <c r="QW9" t="str">
        <f t="shared" si="177"/>
        <v/>
      </c>
      <c r="QX9" t="str">
        <f t="shared" si="178"/>
        <v/>
      </c>
      <c r="QY9" t="str">
        <f t="shared" si="179"/>
        <v/>
      </c>
      <c r="QZ9" t="str">
        <f t="shared" si="180"/>
        <v/>
      </c>
      <c r="RA9" t="str">
        <f t="shared" si="181"/>
        <v/>
      </c>
      <c r="RB9" t="str">
        <f t="shared" si="182"/>
        <v/>
      </c>
      <c r="RC9" t="str">
        <f t="shared" si="183"/>
        <v/>
      </c>
      <c r="RD9" t="str">
        <f t="shared" si="184"/>
        <v/>
      </c>
      <c r="RE9" t="str">
        <f t="shared" si="185"/>
        <v/>
      </c>
      <c r="RF9" t="str">
        <f t="shared" si="186"/>
        <v/>
      </c>
      <c r="RG9" t="str">
        <f t="shared" si="187"/>
        <v/>
      </c>
      <c r="RH9" t="str">
        <f t="shared" si="188"/>
        <v/>
      </c>
      <c r="RI9" t="str">
        <f t="shared" si="189"/>
        <v/>
      </c>
      <c r="RJ9" t="str">
        <f t="shared" si="190"/>
        <v/>
      </c>
      <c r="RK9" t="str">
        <f t="shared" si="191"/>
        <v/>
      </c>
      <c r="RL9" t="str">
        <f t="shared" si="192"/>
        <v/>
      </c>
      <c r="RM9" t="str">
        <f t="shared" si="193"/>
        <v/>
      </c>
      <c r="RN9" t="str">
        <f t="shared" si="194"/>
        <v/>
      </c>
      <c r="RO9" t="str">
        <f t="shared" si="195"/>
        <v/>
      </c>
      <c r="RP9" t="str">
        <f t="shared" si="196"/>
        <v/>
      </c>
      <c r="RQ9" t="str">
        <f t="shared" si="197"/>
        <v/>
      </c>
      <c r="RR9" t="str">
        <f t="shared" si="198"/>
        <v/>
      </c>
      <c r="RS9" t="str">
        <f t="shared" si="199"/>
        <v/>
      </c>
      <c r="RT9" t="str">
        <f t="shared" si="200"/>
        <v/>
      </c>
      <c r="RU9" t="str">
        <f t="shared" si="201"/>
        <v/>
      </c>
      <c r="RV9" t="str">
        <f t="shared" si="202"/>
        <v/>
      </c>
      <c r="RW9" t="str">
        <f t="shared" si="203"/>
        <v/>
      </c>
      <c r="RX9" t="str">
        <f t="shared" si="204"/>
        <v/>
      </c>
      <c r="RY9" t="str">
        <f t="shared" si="205"/>
        <v/>
      </c>
      <c r="RZ9" t="str">
        <f t="shared" si="206"/>
        <v/>
      </c>
      <c r="SA9" t="str">
        <f t="shared" si="207"/>
        <v/>
      </c>
      <c r="SB9" t="str">
        <f t="shared" si="208"/>
        <v/>
      </c>
      <c r="SC9" t="str">
        <f t="shared" si="209"/>
        <v/>
      </c>
      <c r="SD9" t="str">
        <f t="shared" si="210"/>
        <v/>
      </c>
      <c r="SE9" t="str">
        <f t="shared" si="211"/>
        <v/>
      </c>
      <c r="SF9" t="str">
        <f t="shared" si="212"/>
        <v/>
      </c>
      <c r="SG9" t="str">
        <f t="shared" si="213"/>
        <v/>
      </c>
      <c r="SH9" t="str">
        <f t="shared" si="214"/>
        <v/>
      </c>
      <c r="SI9" t="str">
        <f t="shared" si="215"/>
        <v/>
      </c>
      <c r="SJ9" t="str">
        <f t="shared" si="216"/>
        <v/>
      </c>
      <c r="SK9" t="str">
        <f t="shared" si="217"/>
        <v/>
      </c>
      <c r="SL9" t="str">
        <f t="shared" si="218"/>
        <v/>
      </c>
      <c r="SM9" t="str">
        <f t="shared" si="219"/>
        <v/>
      </c>
      <c r="SN9" t="str">
        <f t="shared" si="220"/>
        <v/>
      </c>
      <c r="SO9" t="str">
        <f t="shared" si="221"/>
        <v/>
      </c>
      <c r="SP9" t="str">
        <f t="shared" si="222"/>
        <v/>
      </c>
    </row>
    <row r="10" spans="2:510" x14ac:dyDescent="0.3">
      <c r="B10" t="s">
        <v>16</v>
      </c>
      <c r="C10" cm="1" vm="6">
        <f t="array" aca="1" ref="C10" ca="1">INDEX(_xlfn.ANCHORARRAY(G10),D10)</f>
        <v>315.32</v>
      </c>
      <c r="D10">
        <f t="shared" ca="1" si="223"/>
        <v>19</v>
      </c>
      <c r="F10" t="s">
        <v>4</v>
      </c>
      <c r="G10" cm="1" vm="27">
        <f t="array" aca="1" ref="G10:Y10" ca="1">TRANSPOSE(_xlfn.STOCKHISTORY(F10,$H$4,G$4,0,0,1))</f>
        <v>322.08999999999997</v>
      </c>
      <c r="H10" vm="48">
        <f ca="1"/>
        <v>314.45</v>
      </c>
      <c r="I10" vm="69">
        <f ca="1"/>
        <v>317.75</v>
      </c>
      <c r="J10" vm="89">
        <f ca="1"/>
        <v>321</v>
      </c>
      <c r="K10" vm="110">
        <f ca="1"/>
        <v>313.7</v>
      </c>
      <c r="L10" vm="131">
        <f ca="1"/>
        <v>310.52</v>
      </c>
      <c r="M10" vm="152">
        <f ca="1"/>
        <v>309.32</v>
      </c>
      <c r="N10" vm="173">
        <f ca="1"/>
        <v>307.73</v>
      </c>
      <c r="O10" vm="194">
        <f ca="1"/>
        <v>298.06</v>
      </c>
      <c r="P10" vm="215">
        <f ca="1"/>
        <v>303.75</v>
      </c>
      <c r="Q10" vm="236">
        <f ca="1"/>
        <v>308.61</v>
      </c>
      <c r="R10" vm="257">
        <f ca="1"/>
        <v>311.33</v>
      </c>
      <c r="S10" vm="278">
        <f ca="1"/>
        <v>315.68</v>
      </c>
      <c r="T10" vm="299">
        <f ca="1"/>
        <v>315.67</v>
      </c>
      <c r="U10" vm="319">
        <f ca="1"/>
        <v>314.95999999999998</v>
      </c>
      <c r="V10" vm="340">
        <f ca="1"/>
        <v>314.39</v>
      </c>
      <c r="W10" vm="360">
        <f ca="1"/>
        <v>314.55</v>
      </c>
      <c r="X10" vm="381">
        <f ca="1"/>
        <v>313.8</v>
      </c>
      <c r="Y10" vm="6">
        <f ca="1"/>
        <v>315.32</v>
      </c>
      <c r="KB10" t="str">
        <f t="shared" si="0"/>
        <v/>
      </c>
      <c r="KC10" t="str">
        <f t="shared" si="1"/>
        <v/>
      </c>
      <c r="KD10" t="str">
        <f t="shared" si="2"/>
        <v/>
      </c>
      <c r="KE10" t="str">
        <f t="shared" si="3"/>
        <v/>
      </c>
      <c r="KF10" t="str">
        <f t="shared" si="4"/>
        <v/>
      </c>
      <c r="KG10" t="str">
        <f t="shared" si="5"/>
        <v/>
      </c>
      <c r="KH10" t="str">
        <f t="shared" si="6"/>
        <v/>
      </c>
      <c r="KI10" t="str">
        <f t="shared" si="7"/>
        <v/>
      </c>
      <c r="KJ10" t="str">
        <f t="shared" si="8"/>
        <v/>
      </c>
      <c r="KK10" t="str">
        <f t="shared" si="9"/>
        <v/>
      </c>
      <c r="KL10" t="str">
        <f t="shared" si="10"/>
        <v/>
      </c>
      <c r="KM10" t="str">
        <f t="shared" si="11"/>
        <v/>
      </c>
      <c r="KN10" t="str">
        <f t="shared" si="12"/>
        <v/>
      </c>
      <c r="KO10" t="str">
        <f t="shared" si="13"/>
        <v/>
      </c>
      <c r="KP10" t="str">
        <f t="shared" si="14"/>
        <v/>
      </c>
      <c r="KQ10" t="str">
        <f t="shared" si="15"/>
        <v/>
      </c>
      <c r="KR10" t="str">
        <f t="shared" si="16"/>
        <v/>
      </c>
      <c r="KS10" t="str">
        <f t="shared" si="17"/>
        <v/>
      </c>
      <c r="KT10" t="str">
        <f t="shared" si="18"/>
        <v/>
      </c>
      <c r="KU10" t="str">
        <f t="shared" si="19"/>
        <v/>
      </c>
      <c r="KV10" t="str">
        <f t="shared" si="20"/>
        <v/>
      </c>
      <c r="KW10" t="str">
        <f t="shared" si="21"/>
        <v/>
      </c>
      <c r="KX10" t="str">
        <f t="shared" si="22"/>
        <v/>
      </c>
      <c r="KY10" t="str">
        <f t="shared" si="23"/>
        <v/>
      </c>
      <c r="KZ10" t="str">
        <f t="shared" si="24"/>
        <v/>
      </c>
      <c r="LA10" t="str">
        <f t="shared" si="25"/>
        <v/>
      </c>
      <c r="LB10" t="str">
        <f t="shared" si="26"/>
        <v/>
      </c>
      <c r="LC10" t="str">
        <f t="shared" si="27"/>
        <v/>
      </c>
      <c r="LD10" t="str">
        <f t="shared" si="28"/>
        <v/>
      </c>
      <c r="LE10" t="str">
        <f t="shared" si="29"/>
        <v/>
      </c>
      <c r="LF10" t="str">
        <f t="shared" si="30"/>
        <v/>
      </c>
      <c r="LG10" t="str">
        <f t="shared" si="31"/>
        <v/>
      </c>
      <c r="LH10" t="str">
        <f t="shared" si="32"/>
        <v/>
      </c>
      <c r="LI10" t="str">
        <f t="shared" si="33"/>
        <v/>
      </c>
      <c r="LJ10" t="str">
        <f t="shared" si="34"/>
        <v/>
      </c>
      <c r="LK10" t="str">
        <f t="shared" si="35"/>
        <v/>
      </c>
      <c r="LL10" t="str">
        <f t="shared" si="36"/>
        <v/>
      </c>
      <c r="LM10" t="str">
        <f t="shared" si="37"/>
        <v/>
      </c>
      <c r="LN10" t="str">
        <f t="shared" si="38"/>
        <v/>
      </c>
      <c r="LO10" t="str">
        <f t="shared" si="39"/>
        <v/>
      </c>
      <c r="LP10" t="str">
        <f t="shared" si="40"/>
        <v/>
      </c>
      <c r="LQ10" t="str">
        <f t="shared" si="41"/>
        <v/>
      </c>
      <c r="LR10" t="str">
        <f t="shared" si="42"/>
        <v/>
      </c>
      <c r="LS10" t="str">
        <f t="shared" si="43"/>
        <v/>
      </c>
      <c r="LT10" t="str">
        <f t="shared" si="44"/>
        <v/>
      </c>
      <c r="LU10" t="str">
        <f t="shared" si="45"/>
        <v/>
      </c>
      <c r="LV10" t="str">
        <f t="shared" si="46"/>
        <v/>
      </c>
      <c r="LW10" t="str">
        <f t="shared" si="47"/>
        <v/>
      </c>
      <c r="LX10" t="str">
        <f t="shared" si="48"/>
        <v/>
      </c>
      <c r="LY10" t="str">
        <f t="shared" si="49"/>
        <v/>
      </c>
      <c r="LZ10" t="str">
        <f t="shared" si="50"/>
        <v/>
      </c>
      <c r="MA10" t="str">
        <f t="shared" si="51"/>
        <v/>
      </c>
      <c r="MB10" t="str">
        <f t="shared" si="52"/>
        <v/>
      </c>
      <c r="MC10" t="str">
        <f t="shared" si="53"/>
        <v/>
      </c>
      <c r="MD10" t="str">
        <f t="shared" si="54"/>
        <v/>
      </c>
      <c r="ME10" t="str">
        <f t="shared" si="55"/>
        <v/>
      </c>
      <c r="MF10" t="str">
        <f t="shared" si="56"/>
        <v/>
      </c>
      <c r="MG10" t="str">
        <f t="shared" si="57"/>
        <v/>
      </c>
      <c r="MH10" t="str">
        <f t="shared" si="58"/>
        <v/>
      </c>
      <c r="MI10" t="str">
        <f t="shared" si="59"/>
        <v/>
      </c>
      <c r="MJ10" t="str">
        <f t="shared" si="60"/>
        <v/>
      </c>
      <c r="MK10" t="str">
        <f t="shared" si="61"/>
        <v/>
      </c>
      <c r="ML10" t="str">
        <f t="shared" si="62"/>
        <v/>
      </c>
      <c r="MM10" t="str">
        <f t="shared" si="63"/>
        <v/>
      </c>
      <c r="MN10" t="str">
        <f t="shared" si="64"/>
        <v/>
      </c>
      <c r="MO10" t="str">
        <f t="shared" si="65"/>
        <v/>
      </c>
      <c r="MP10" t="str">
        <f t="shared" si="66"/>
        <v/>
      </c>
      <c r="MQ10" t="str">
        <f t="shared" si="67"/>
        <v/>
      </c>
      <c r="MR10" t="str">
        <f t="shared" si="68"/>
        <v/>
      </c>
      <c r="MS10" t="str">
        <f t="shared" si="69"/>
        <v/>
      </c>
      <c r="MT10" t="str">
        <f t="shared" si="70"/>
        <v/>
      </c>
      <c r="MU10" t="str">
        <f t="shared" si="71"/>
        <v/>
      </c>
      <c r="MV10" t="str">
        <f t="shared" si="72"/>
        <v/>
      </c>
      <c r="MW10" t="str">
        <f t="shared" si="73"/>
        <v/>
      </c>
      <c r="MX10" t="str">
        <f t="shared" si="74"/>
        <v/>
      </c>
      <c r="MY10" t="str">
        <f t="shared" si="75"/>
        <v/>
      </c>
      <c r="MZ10" t="str">
        <f t="shared" si="76"/>
        <v/>
      </c>
      <c r="NA10" t="str">
        <f t="shared" si="77"/>
        <v/>
      </c>
      <c r="NB10" t="str">
        <f t="shared" si="78"/>
        <v/>
      </c>
      <c r="NC10" t="str">
        <f t="shared" si="79"/>
        <v/>
      </c>
      <c r="ND10" t="str">
        <f t="shared" si="80"/>
        <v/>
      </c>
      <c r="NE10" t="str">
        <f t="shared" si="81"/>
        <v/>
      </c>
      <c r="NF10" t="str">
        <f t="shared" si="82"/>
        <v/>
      </c>
      <c r="NG10" t="str">
        <f t="shared" si="83"/>
        <v/>
      </c>
      <c r="NH10" t="str">
        <f t="shared" si="84"/>
        <v/>
      </c>
      <c r="NI10" t="str">
        <f t="shared" si="85"/>
        <v/>
      </c>
      <c r="NJ10" t="str">
        <f t="shared" si="86"/>
        <v/>
      </c>
      <c r="NK10" t="str">
        <f t="shared" si="87"/>
        <v/>
      </c>
      <c r="NL10" t="str">
        <f t="shared" si="88"/>
        <v/>
      </c>
      <c r="NM10" t="str">
        <f t="shared" si="89"/>
        <v/>
      </c>
      <c r="NN10" t="str">
        <f t="shared" si="90"/>
        <v/>
      </c>
      <c r="NO10" t="str">
        <f t="shared" si="91"/>
        <v/>
      </c>
      <c r="NP10" t="str">
        <f t="shared" si="92"/>
        <v/>
      </c>
      <c r="NQ10" t="str">
        <f t="shared" si="93"/>
        <v/>
      </c>
      <c r="NR10" t="str">
        <f t="shared" si="94"/>
        <v/>
      </c>
      <c r="NS10" t="str">
        <f t="shared" si="95"/>
        <v/>
      </c>
      <c r="NT10" t="str">
        <f t="shared" si="96"/>
        <v/>
      </c>
      <c r="NU10" t="str">
        <f t="shared" si="97"/>
        <v/>
      </c>
      <c r="NV10" t="str">
        <f t="shared" si="98"/>
        <v/>
      </c>
      <c r="NW10" t="str">
        <f t="shared" si="99"/>
        <v/>
      </c>
      <c r="NX10" t="str">
        <f t="shared" si="100"/>
        <v/>
      </c>
      <c r="NY10" t="str">
        <f t="shared" si="101"/>
        <v/>
      </c>
      <c r="NZ10" t="str">
        <f t="shared" si="102"/>
        <v/>
      </c>
      <c r="OA10" t="str">
        <f t="shared" si="103"/>
        <v/>
      </c>
      <c r="OB10" t="str">
        <f t="shared" si="104"/>
        <v/>
      </c>
      <c r="OC10" t="str">
        <f t="shared" si="105"/>
        <v/>
      </c>
      <c r="OD10" t="str">
        <f t="shared" si="106"/>
        <v/>
      </c>
      <c r="OE10" t="str">
        <f t="shared" si="107"/>
        <v/>
      </c>
      <c r="OF10" t="str">
        <f t="shared" si="108"/>
        <v/>
      </c>
      <c r="OG10" t="str">
        <f t="shared" si="109"/>
        <v/>
      </c>
      <c r="OH10" t="str">
        <f t="shared" si="110"/>
        <v/>
      </c>
      <c r="OI10" t="str">
        <f t="shared" si="111"/>
        <v/>
      </c>
      <c r="OJ10" t="str">
        <f t="shared" si="112"/>
        <v/>
      </c>
      <c r="OK10" t="str">
        <f t="shared" si="113"/>
        <v/>
      </c>
      <c r="OL10" t="str">
        <f t="shared" si="114"/>
        <v/>
      </c>
      <c r="OM10" t="str">
        <f t="shared" si="115"/>
        <v/>
      </c>
      <c r="ON10" t="str">
        <f t="shared" si="116"/>
        <v/>
      </c>
      <c r="OO10" t="str">
        <f t="shared" si="117"/>
        <v/>
      </c>
      <c r="OP10" t="str">
        <f t="shared" si="118"/>
        <v/>
      </c>
      <c r="OQ10" t="str">
        <f t="shared" si="119"/>
        <v/>
      </c>
      <c r="OR10" t="str">
        <f t="shared" si="120"/>
        <v/>
      </c>
      <c r="OS10" t="str">
        <f t="shared" si="121"/>
        <v/>
      </c>
      <c r="OT10" t="str">
        <f t="shared" si="122"/>
        <v/>
      </c>
      <c r="OU10" t="str">
        <f t="shared" si="123"/>
        <v/>
      </c>
      <c r="OV10" t="str">
        <f t="shared" si="124"/>
        <v/>
      </c>
      <c r="OW10" t="str">
        <f t="shared" si="125"/>
        <v/>
      </c>
      <c r="OX10" t="str">
        <f t="shared" si="126"/>
        <v/>
      </c>
      <c r="OY10" t="str">
        <f t="shared" si="127"/>
        <v/>
      </c>
      <c r="OZ10" t="str">
        <f t="shared" si="128"/>
        <v/>
      </c>
      <c r="PA10" t="str">
        <f t="shared" si="129"/>
        <v/>
      </c>
      <c r="PB10" t="str">
        <f t="shared" si="130"/>
        <v/>
      </c>
      <c r="PC10" t="str">
        <f t="shared" si="131"/>
        <v/>
      </c>
      <c r="PD10" t="str">
        <f t="shared" si="132"/>
        <v/>
      </c>
      <c r="PE10" t="str">
        <f t="shared" si="133"/>
        <v/>
      </c>
      <c r="PF10" t="str">
        <f t="shared" si="134"/>
        <v/>
      </c>
      <c r="PG10" t="str">
        <f t="shared" si="135"/>
        <v/>
      </c>
      <c r="PH10" t="str">
        <f t="shared" si="136"/>
        <v/>
      </c>
      <c r="PI10" t="str">
        <f t="shared" si="137"/>
        <v/>
      </c>
      <c r="PJ10" t="str">
        <f t="shared" si="138"/>
        <v/>
      </c>
      <c r="PK10" t="str">
        <f t="shared" si="139"/>
        <v/>
      </c>
      <c r="PL10" t="str">
        <f t="shared" si="140"/>
        <v/>
      </c>
      <c r="PM10" t="str">
        <f t="shared" si="141"/>
        <v/>
      </c>
      <c r="PN10" t="str">
        <f t="shared" si="142"/>
        <v/>
      </c>
      <c r="PO10" t="str">
        <f t="shared" si="143"/>
        <v/>
      </c>
      <c r="PP10" t="str">
        <f t="shared" si="144"/>
        <v/>
      </c>
      <c r="PQ10" t="str">
        <f t="shared" si="145"/>
        <v/>
      </c>
      <c r="PR10" t="str">
        <f t="shared" si="146"/>
        <v/>
      </c>
      <c r="PS10" t="str">
        <f t="shared" si="147"/>
        <v/>
      </c>
      <c r="PT10" t="str">
        <f t="shared" si="148"/>
        <v/>
      </c>
      <c r="PU10" t="str">
        <f t="shared" si="149"/>
        <v/>
      </c>
      <c r="PV10" t="str">
        <f t="shared" si="150"/>
        <v/>
      </c>
      <c r="PW10" t="str">
        <f t="shared" si="151"/>
        <v/>
      </c>
      <c r="PX10" t="str">
        <f t="shared" si="152"/>
        <v/>
      </c>
      <c r="PY10" t="str">
        <f t="shared" si="153"/>
        <v/>
      </c>
      <c r="PZ10" t="str">
        <f t="shared" si="154"/>
        <v/>
      </c>
      <c r="QA10" t="str">
        <f t="shared" si="155"/>
        <v/>
      </c>
      <c r="QB10" t="str">
        <f t="shared" si="156"/>
        <v/>
      </c>
      <c r="QC10" t="str">
        <f t="shared" si="157"/>
        <v/>
      </c>
      <c r="QD10" t="str">
        <f t="shared" si="158"/>
        <v/>
      </c>
      <c r="QE10" t="str">
        <f t="shared" si="159"/>
        <v/>
      </c>
      <c r="QF10" t="str">
        <f t="shared" si="160"/>
        <v/>
      </c>
      <c r="QG10" t="str">
        <f t="shared" si="161"/>
        <v/>
      </c>
      <c r="QH10" t="str">
        <f t="shared" si="162"/>
        <v/>
      </c>
      <c r="QI10" t="str">
        <f t="shared" si="163"/>
        <v/>
      </c>
      <c r="QJ10" t="str">
        <f t="shared" si="164"/>
        <v/>
      </c>
      <c r="QK10" t="str">
        <f t="shared" si="165"/>
        <v/>
      </c>
      <c r="QL10" t="str">
        <f t="shared" si="166"/>
        <v/>
      </c>
      <c r="QM10" t="str">
        <f t="shared" si="167"/>
        <v/>
      </c>
      <c r="QN10" t="str">
        <f t="shared" si="168"/>
        <v/>
      </c>
      <c r="QO10" t="str">
        <f t="shared" si="169"/>
        <v/>
      </c>
      <c r="QP10" t="str">
        <f t="shared" si="170"/>
        <v/>
      </c>
      <c r="QQ10" t="str">
        <f t="shared" si="171"/>
        <v/>
      </c>
      <c r="QR10" t="str">
        <f t="shared" si="172"/>
        <v/>
      </c>
      <c r="QS10" t="str">
        <f t="shared" si="173"/>
        <v/>
      </c>
      <c r="QT10" t="str">
        <f t="shared" si="174"/>
        <v/>
      </c>
      <c r="QU10" t="str">
        <f t="shared" si="175"/>
        <v/>
      </c>
      <c r="QV10" t="str">
        <f t="shared" si="176"/>
        <v/>
      </c>
      <c r="QW10" t="str">
        <f t="shared" si="177"/>
        <v/>
      </c>
      <c r="QX10" t="str">
        <f t="shared" si="178"/>
        <v/>
      </c>
      <c r="QY10" t="str">
        <f t="shared" si="179"/>
        <v/>
      </c>
      <c r="QZ10" t="str">
        <f t="shared" si="180"/>
        <v/>
      </c>
      <c r="RA10" t="str">
        <f t="shared" si="181"/>
        <v/>
      </c>
      <c r="RB10" t="str">
        <f t="shared" si="182"/>
        <v/>
      </c>
      <c r="RC10" t="str">
        <f t="shared" si="183"/>
        <v/>
      </c>
      <c r="RD10" t="str">
        <f t="shared" si="184"/>
        <v/>
      </c>
      <c r="RE10" t="str">
        <f t="shared" si="185"/>
        <v/>
      </c>
      <c r="RF10" t="str">
        <f t="shared" si="186"/>
        <v/>
      </c>
      <c r="RG10" t="str">
        <f t="shared" si="187"/>
        <v/>
      </c>
      <c r="RH10" t="str">
        <f t="shared" si="188"/>
        <v/>
      </c>
      <c r="RI10" t="str">
        <f t="shared" si="189"/>
        <v/>
      </c>
      <c r="RJ10" t="str">
        <f t="shared" si="190"/>
        <v/>
      </c>
      <c r="RK10" t="str">
        <f t="shared" si="191"/>
        <v/>
      </c>
      <c r="RL10" t="str">
        <f t="shared" si="192"/>
        <v/>
      </c>
      <c r="RM10" t="str">
        <f t="shared" si="193"/>
        <v/>
      </c>
      <c r="RN10" t="str">
        <f t="shared" si="194"/>
        <v/>
      </c>
      <c r="RO10" t="str">
        <f t="shared" si="195"/>
        <v/>
      </c>
      <c r="RP10" t="str">
        <f t="shared" si="196"/>
        <v/>
      </c>
      <c r="RQ10" t="str">
        <f t="shared" si="197"/>
        <v/>
      </c>
      <c r="RR10" t="str">
        <f t="shared" si="198"/>
        <v/>
      </c>
      <c r="RS10" t="str">
        <f t="shared" si="199"/>
        <v/>
      </c>
      <c r="RT10" t="str">
        <f t="shared" si="200"/>
        <v/>
      </c>
      <c r="RU10" t="str">
        <f t="shared" si="201"/>
        <v/>
      </c>
      <c r="RV10" t="str">
        <f t="shared" si="202"/>
        <v/>
      </c>
      <c r="RW10" t="str">
        <f t="shared" si="203"/>
        <v/>
      </c>
      <c r="RX10" t="str">
        <f t="shared" si="204"/>
        <v/>
      </c>
      <c r="RY10" t="str">
        <f t="shared" si="205"/>
        <v/>
      </c>
      <c r="RZ10" t="str">
        <f t="shared" si="206"/>
        <v/>
      </c>
      <c r="SA10" t="str">
        <f t="shared" si="207"/>
        <v/>
      </c>
      <c r="SB10" t="str">
        <f t="shared" si="208"/>
        <v/>
      </c>
      <c r="SC10" t="str">
        <f t="shared" si="209"/>
        <v/>
      </c>
      <c r="SD10" t="str">
        <f t="shared" si="210"/>
        <v/>
      </c>
      <c r="SE10" t="str">
        <f t="shared" si="211"/>
        <v/>
      </c>
      <c r="SF10" t="str">
        <f t="shared" si="212"/>
        <v/>
      </c>
      <c r="SG10" t="str">
        <f t="shared" si="213"/>
        <v/>
      </c>
      <c r="SH10" t="str">
        <f t="shared" si="214"/>
        <v/>
      </c>
      <c r="SI10" t="str">
        <f t="shared" si="215"/>
        <v/>
      </c>
      <c r="SJ10" t="str">
        <f t="shared" si="216"/>
        <v/>
      </c>
      <c r="SK10" t="str">
        <f t="shared" si="217"/>
        <v/>
      </c>
      <c r="SL10" t="str">
        <f t="shared" si="218"/>
        <v/>
      </c>
      <c r="SM10" t="str">
        <f t="shared" si="219"/>
        <v/>
      </c>
      <c r="SN10" t="str">
        <f t="shared" si="220"/>
        <v/>
      </c>
      <c r="SO10" t="str">
        <f t="shared" si="221"/>
        <v/>
      </c>
      <c r="SP10" t="str">
        <f t="shared" si="222"/>
        <v/>
      </c>
    </row>
    <row r="11" spans="2:510" x14ac:dyDescent="0.3">
      <c r="B11" t="s">
        <v>17</v>
      </c>
      <c r="C11" cm="1" vm="7">
        <f t="array" aca="1" ref="C11" ca="1">INDEX(_xlfn.ANCHORARRAY(G11),D11)</f>
        <v>650.41</v>
      </c>
      <c r="D11">
        <f t="shared" ca="1" si="223"/>
        <v>19</v>
      </c>
      <c r="F11" t="s">
        <v>18</v>
      </c>
      <c r="G11" cm="1" vm="28">
        <f t="array" aca="1" ref="G11:Y11" ca="1">TRANSPOSE(_xlfn.STOCKHISTORY(F11,$H$4,G$4,0,0,1))</f>
        <v>673.42</v>
      </c>
      <c r="H11" vm="49">
        <f ca="1"/>
        <v>666.8</v>
      </c>
      <c r="I11" vm="70">
        <f ca="1"/>
        <v>656.96</v>
      </c>
      <c r="J11" vm="90">
        <f ca="1"/>
        <v>650.13</v>
      </c>
      <c r="K11" vm="111">
        <f ca="1"/>
        <v>652.71</v>
      </c>
      <c r="L11" vm="132">
        <f ca="1"/>
        <v>644.23</v>
      </c>
      <c r="M11" vm="153">
        <f ca="1"/>
        <v>647.51</v>
      </c>
      <c r="N11" vm="174">
        <f ca="1"/>
        <v>657.15</v>
      </c>
      <c r="O11" vm="195">
        <f ca="1"/>
        <v>649.5</v>
      </c>
      <c r="P11" vm="216">
        <f ca="1"/>
        <v>664.45</v>
      </c>
      <c r="Q11" vm="237">
        <f ca="1"/>
        <v>658.77</v>
      </c>
      <c r="R11" vm="258">
        <f ca="1"/>
        <v>661.5</v>
      </c>
      <c r="S11" vm="279">
        <f ca="1"/>
        <v>664.94</v>
      </c>
      <c r="T11" vm="300">
        <f ca="1"/>
        <v>667.55</v>
      </c>
      <c r="U11" vm="320">
        <f ca="1"/>
        <v>663.29</v>
      </c>
      <c r="V11" vm="341">
        <f ca="1"/>
        <v>658.69</v>
      </c>
      <c r="W11" vm="361">
        <f ca="1"/>
        <v>665.95</v>
      </c>
      <c r="X11" vm="382">
        <f ca="1"/>
        <v>660.09</v>
      </c>
      <c r="Y11" vm="7">
        <f ca="1"/>
        <v>650.41</v>
      </c>
      <c r="KB11" t="str">
        <f t="shared" si="0"/>
        <v/>
      </c>
      <c r="KC11" t="str">
        <f t="shared" si="1"/>
        <v/>
      </c>
      <c r="KD11" t="str">
        <f t="shared" si="2"/>
        <v/>
      </c>
      <c r="KE11" t="str">
        <f t="shared" si="3"/>
        <v/>
      </c>
      <c r="KF11" t="str">
        <f t="shared" si="4"/>
        <v/>
      </c>
      <c r="KG11" t="str">
        <f t="shared" si="5"/>
        <v/>
      </c>
      <c r="KH11" t="str">
        <f t="shared" si="6"/>
        <v/>
      </c>
      <c r="KI11" t="str">
        <f t="shared" si="7"/>
        <v/>
      </c>
      <c r="KJ11" t="str">
        <f t="shared" si="8"/>
        <v/>
      </c>
      <c r="KK11" t="str">
        <f t="shared" si="9"/>
        <v/>
      </c>
      <c r="KL11" t="str">
        <f t="shared" si="10"/>
        <v/>
      </c>
      <c r="KM11" t="str">
        <f t="shared" si="11"/>
        <v/>
      </c>
      <c r="KN11" t="str">
        <f t="shared" si="12"/>
        <v/>
      </c>
      <c r="KO11" t="str">
        <f t="shared" si="13"/>
        <v/>
      </c>
      <c r="KP11" t="str">
        <f t="shared" si="14"/>
        <v/>
      </c>
      <c r="KQ11" t="str">
        <f t="shared" si="15"/>
        <v/>
      </c>
      <c r="KR11" t="str">
        <f t="shared" si="16"/>
        <v/>
      </c>
      <c r="KS11" t="str">
        <f t="shared" si="17"/>
        <v/>
      </c>
      <c r="KT11" t="str">
        <f t="shared" si="18"/>
        <v/>
      </c>
      <c r="KU11" t="str">
        <f t="shared" si="19"/>
        <v/>
      </c>
      <c r="KV11" t="str">
        <f t="shared" si="20"/>
        <v/>
      </c>
      <c r="KW11" t="str">
        <f t="shared" si="21"/>
        <v/>
      </c>
      <c r="KX11" t="str">
        <f t="shared" si="22"/>
        <v/>
      </c>
      <c r="KY11" t="str">
        <f t="shared" si="23"/>
        <v/>
      </c>
      <c r="KZ11" t="str">
        <f t="shared" si="24"/>
        <v/>
      </c>
      <c r="LA11" t="str">
        <f t="shared" si="25"/>
        <v/>
      </c>
      <c r="LB11" t="str">
        <f t="shared" si="26"/>
        <v/>
      </c>
      <c r="LC11" t="str">
        <f t="shared" si="27"/>
        <v/>
      </c>
      <c r="LD11" t="str">
        <f t="shared" si="28"/>
        <v/>
      </c>
      <c r="LE11" t="str">
        <f t="shared" si="29"/>
        <v/>
      </c>
      <c r="LF11" t="str">
        <f t="shared" si="30"/>
        <v/>
      </c>
      <c r="LG11" t="str">
        <f t="shared" si="31"/>
        <v/>
      </c>
      <c r="LH11" t="str">
        <f t="shared" si="32"/>
        <v/>
      </c>
      <c r="LI11" t="str">
        <f t="shared" si="33"/>
        <v/>
      </c>
      <c r="LJ11" t="str">
        <f t="shared" si="34"/>
        <v/>
      </c>
      <c r="LK11" t="str">
        <f t="shared" si="35"/>
        <v/>
      </c>
      <c r="LL11" t="str">
        <f t="shared" si="36"/>
        <v/>
      </c>
      <c r="LM11" t="str">
        <f t="shared" si="37"/>
        <v/>
      </c>
      <c r="LN11" t="str">
        <f t="shared" si="38"/>
        <v/>
      </c>
      <c r="LO11" t="str">
        <f t="shared" si="39"/>
        <v/>
      </c>
      <c r="LP11" t="str">
        <f t="shared" si="40"/>
        <v/>
      </c>
      <c r="LQ11" t="str">
        <f t="shared" si="41"/>
        <v/>
      </c>
      <c r="LR11" t="str">
        <f t="shared" si="42"/>
        <v/>
      </c>
      <c r="LS11" t="str">
        <f t="shared" si="43"/>
        <v/>
      </c>
      <c r="LT11" t="str">
        <f t="shared" si="44"/>
        <v/>
      </c>
      <c r="LU11" t="str">
        <f t="shared" si="45"/>
        <v/>
      </c>
      <c r="LV11" t="str">
        <f t="shared" si="46"/>
        <v/>
      </c>
      <c r="LW11" t="str">
        <f t="shared" si="47"/>
        <v/>
      </c>
      <c r="LX11" t="str">
        <f t="shared" si="48"/>
        <v/>
      </c>
      <c r="LY11" t="str">
        <f t="shared" si="49"/>
        <v/>
      </c>
      <c r="LZ11" t="str">
        <f t="shared" si="50"/>
        <v/>
      </c>
      <c r="MA11" t="str">
        <f t="shared" si="51"/>
        <v/>
      </c>
      <c r="MB11" t="str">
        <f t="shared" si="52"/>
        <v/>
      </c>
      <c r="MC11" t="str">
        <f t="shared" si="53"/>
        <v/>
      </c>
      <c r="MD11" t="str">
        <f t="shared" si="54"/>
        <v/>
      </c>
      <c r="ME11" t="str">
        <f t="shared" si="55"/>
        <v/>
      </c>
      <c r="MF11" t="str">
        <f t="shared" si="56"/>
        <v/>
      </c>
      <c r="MG11" t="str">
        <f t="shared" si="57"/>
        <v/>
      </c>
      <c r="MH11" t="str">
        <f t="shared" si="58"/>
        <v/>
      </c>
      <c r="MI11" t="str">
        <f t="shared" si="59"/>
        <v/>
      </c>
      <c r="MJ11" t="str">
        <f t="shared" si="60"/>
        <v/>
      </c>
      <c r="MK11" t="str">
        <f t="shared" si="61"/>
        <v/>
      </c>
      <c r="ML11" t="str">
        <f t="shared" si="62"/>
        <v/>
      </c>
      <c r="MM11" t="str">
        <f t="shared" si="63"/>
        <v/>
      </c>
      <c r="MN11" t="str">
        <f t="shared" si="64"/>
        <v/>
      </c>
      <c r="MO11" t="str">
        <f t="shared" si="65"/>
        <v/>
      </c>
      <c r="MP11" t="str">
        <f t="shared" si="66"/>
        <v/>
      </c>
      <c r="MQ11" t="str">
        <f t="shared" si="67"/>
        <v/>
      </c>
      <c r="MR11" t="str">
        <f t="shared" si="68"/>
        <v/>
      </c>
      <c r="MS11" t="str">
        <f t="shared" si="69"/>
        <v/>
      </c>
      <c r="MT11" t="str">
        <f t="shared" si="70"/>
        <v/>
      </c>
      <c r="MU11" t="str">
        <f t="shared" si="71"/>
        <v/>
      </c>
      <c r="MV11" t="str">
        <f t="shared" si="72"/>
        <v/>
      </c>
      <c r="MW11" t="str">
        <f t="shared" si="73"/>
        <v/>
      </c>
      <c r="MX11" t="str">
        <f t="shared" si="74"/>
        <v/>
      </c>
      <c r="MY11" t="str">
        <f t="shared" si="75"/>
        <v/>
      </c>
      <c r="MZ11" t="str">
        <f t="shared" si="76"/>
        <v/>
      </c>
      <c r="NA11" t="str">
        <f t="shared" si="77"/>
        <v/>
      </c>
      <c r="NB11" t="str">
        <f t="shared" si="78"/>
        <v/>
      </c>
      <c r="NC11" t="str">
        <f t="shared" si="79"/>
        <v/>
      </c>
      <c r="ND11" t="str">
        <f t="shared" si="80"/>
        <v/>
      </c>
      <c r="NE11" t="str">
        <f t="shared" si="81"/>
        <v/>
      </c>
      <c r="NF11" t="str">
        <f t="shared" si="82"/>
        <v/>
      </c>
      <c r="NG11" t="str">
        <f t="shared" si="83"/>
        <v/>
      </c>
      <c r="NH11" t="str">
        <f t="shared" si="84"/>
        <v/>
      </c>
      <c r="NI11" t="str">
        <f t="shared" si="85"/>
        <v/>
      </c>
      <c r="NJ11" t="str">
        <f t="shared" si="86"/>
        <v/>
      </c>
      <c r="NK11" t="str">
        <f t="shared" si="87"/>
        <v/>
      </c>
      <c r="NL11" t="str">
        <f t="shared" si="88"/>
        <v/>
      </c>
      <c r="NM11" t="str">
        <f t="shared" si="89"/>
        <v/>
      </c>
      <c r="NN11" t="str">
        <f t="shared" si="90"/>
        <v/>
      </c>
      <c r="NO11" t="str">
        <f t="shared" si="91"/>
        <v/>
      </c>
      <c r="NP11" t="str">
        <f t="shared" si="92"/>
        <v/>
      </c>
      <c r="NQ11" t="str">
        <f t="shared" si="93"/>
        <v/>
      </c>
      <c r="NR11" t="str">
        <f t="shared" si="94"/>
        <v/>
      </c>
      <c r="NS11" t="str">
        <f t="shared" si="95"/>
        <v/>
      </c>
      <c r="NT11" t="str">
        <f t="shared" si="96"/>
        <v/>
      </c>
      <c r="NU11" t="str">
        <f t="shared" si="97"/>
        <v/>
      </c>
      <c r="NV11" t="str">
        <f t="shared" si="98"/>
        <v/>
      </c>
      <c r="NW11" t="str">
        <f t="shared" si="99"/>
        <v/>
      </c>
      <c r="NX11" t="str">
        <f t="shared" si="100"/>
        <v/>
      </c>
      <c r="NY11" t="str">
        <f t="shared" si="101"/>
        <v/>
      </c>
      <c r="NZ11" t="str">
        <f t="shared" si="102"/>
        <v/>
      </c>
      <c r="OA11" t="str">
        <f t="shared" si="103"/>
        <v/>
      </c>
      <c r="OB11" t="str">
        <f t="shared" si="104"/>
        <v/>
      </c>
      <c r="OC11" t="str">
        <f t="shared" si="105"/>
        <v/>
      </c>
      <c r="OD11" t="str">
        <f t="shared" si="106"/>
        <v/>
      </c>
      <c r="OE11" t="str">
        <f t="shared" si="107"/>
        <v/>
      </c>
      <c r="OF11" t="str">
        <f t="shared" si="108"/>
        <v/>
      </c>
      <c r="OG11" t="str">
        <f t="shared" si="109"/>
        <v/>
      </c>
      <c r="OH11" t="str">
        <f t="shared" si="110"/>
        <v/>
      </c>
      <c r="OI11" t="str">
        <f t="shared" si="111"/>
        <v/>
      </c>
      <c r="OJ11" t="str">
        <f t="shared" si="112"/>
        <v/>
      </c>
      <c r="OK11" t="str">
        <f t="shared" si="113"/>
        <v/>
      </c>
      <c r="OL11" t="str">
        <f t="shared" si="114"/>
        <v/>
      </c>
      <c r="OM11" t="str">
        <f t="shared" si="115"/>
        <v/>
      </c>
      <c r="ON11" t="str">
        <f t="shared" si="116"/>
        <v/>
      </c>
      <c r="OO11" t="str">
        <f t="shared" si="117"/>
        <v/>
      </c>
      <c r="OP11" t="str">
        <f t="shared" si="118"/>
        <v/>
      </c>
      <c r="OQ11" t="str">
        <f t="shared" si="119"/>
        <v/>
      </c>
      <c r="OR11" t="str">
        <f t="shared" si="120"/>
        <v/>
      </c>
      <c r="OS11" t="str">
        <f t="shared" si="121"/>
        <v/>
      </c>
      <c r="OT11" t="str">
        <f t="shared" si="122"/>
        <v/>
      </c>
      <c r="OU11" t="str">
        <f t="shared" si="123"/>
        <v/>
      </c>
      <c r="OV11" t="str">
        <f t="shared" si="124"/>
        <v/>
      </c>
      <c r="OW11" t="str">
        <f t="shared" si="125"/>
        <v/>
      </c>
      <c r="OX11" t="str">
        <f t="shared" si="126"/>
        <v/>
      </c>
      <c r="OY11" t="str">
        <f t="shared" si="127"/>
        <v/>
      </c>
      <c r="OZ11" t="str">
        <f t="shared" si="128"/>
        <v/>
      </c>
      <c r="PA11" t="str">
        <f t="shared" si="129"/>
        <v/>
      </c>
      <c r="PB11" t="str">
        <f t="shared" si="130"/>
        <v/>
      </c>
      <c r="PC11" t="str">
        <f t="shared" si="131"/>
        <v/>
      </c>
      <c r="PD11" t="str">
        <f t="shared" si="132"/>
        <v/>
      </c>
      <c r="PE11" t="str">
        <f t="shared" si="133"/>
        <v/>
      </c>
      <c r="PF11" t="str">
        <f t="shared" si="134"/>
        <v/>
      </c>
      <c r="PG11" t="str">
        <f t="shared" si="135"/>
        <v/>
      </c>
      <c r="PH11" t="str">
        <f t="shared" si="136"/>
        <v/>
      </c>
      <c r="PI11" t="str">
        <f t="shared" si="137"/>
        <v/>
      </c>
      <c r="PJ11" t="str">
        <f t="shared" si="138"/>
        <v/>
      </c>
      <c r="PK11" t="str">
        <f t="shared" si="139"/>
        <v/>
      </c>
      <c r="PL11" t="str">
        <f t="shared" si="140"/>
        <v/>
      </c>
      <c r="PM11" t="str">
        <f t="shared" si="141"/>
        <v/>
      </c>
      <c r="PN11" t="str">
        <f t="shared" si="142"/>
        <v/>
      </c>
      <c r="PO11" t="str">
        <f t="shared" si="143"/>
        <v/>
      </c>
      <c r="PP11" t="str">
        <f t="shared" si="144"/>
        <v/>
      </c>
      <c r="PQ11" t="str">
        <f t="shared" si="145"/>
        <v/>
      </c>
      <c r="PR11" t="str">
        <f t="shared" si="146"/>
        <v/>
      </c>
      <c r="PS11" t="str">
        <f t="shared" si="147"/>
        <v/>
      </c>
      <c r="PT11" t="str">
        <f t="shared" si="148"/>
        <v/>
      </c>
      <c r="PU11" t="str">
        <f t="shared" si="149"/>
        <v/>
      </c>
      <c r="PV11" t="str">
        <f t="shared" si="150"/>
        <v/>
      </c>
      <c r="PW11" t="str">
        <f t="shared" si="151"/>
        <v/>
      </c>
      <c r="PX11" t="str">
        <f t="shared" si="152"/>
        <v/>
      </c>
      <c r="PY11" t="str">
        <f t="shared" si="153"/>
        <v/>
      </c>
      <c r="PZ11" t="str">
        <f t="shared" si="154"/>
        <v/>
      </c>
      <c r="QA11" t="str">
        <f t="shared" si="155"/>
        <v/>
      </c>
      <c r="QB11" t="str">
        <f t="shared" si="156"/>
        <v/>
      </c>
      <c r="QC11" t="str">
        <f t="shared" si="157"/>
        <v/>
      </c>
      <c r="QD11" t="str">
        <f t="shared" si="158"/>
        <v/>
      </c>
      <c r="QE11" t="str">
        <f t="shared" si="159"/>
        <v/>
      </c>
      <c r="QF11" t="str">
        <f t="shared" si="160"/>
        <v/>
      </c>
      <c r="QG11" t="str">
        <f t="shared" si="161"/>
        <v/>
      </c>
      <c r="QH11" t="str">
        <f t="shared" si="162"/>
        <v/>
      </c>
      <c r="QI11" t="str">
        <f t="shared" si="163"/>
        <v/>
      </c>
      <c r="QJ11" t="str">
        <f t="shared" si="164"/>
        <v/>
      </c>
      <c r="QK11" t="str">
        <f t="shared" si="165"/>
        <v/>
      </c>
      <c r="QL11" t="str">
        <f t="shared" si="166"/>
        <v/>
      </c>
      <c r="QM11" t="str">
        <f t="shared" si="167"/>
        <v/>
      </c>
      <c r="QN11" t="str">
        <f t="shared" si="168"/>
        <v/>
      </c>
      <c r="QO11" t="str">
        <f t="shared" si="169"/>
        <v/>
      </c>
      <c r="QP11" t="str">
        <f t="shared" si="170"/>
        <v/>
      </c>
      <c r="QQ11" t="str">
        <f t="shared" si="171"/>
        <v/>
      </c>
      <c r="QR11" t="str">
        <f t="shared" si="172"/>
        <v/>
      </c>
      <c r="QS11" t="str">
        <f t="shared" si="173"/>
        <v/>
      </c>
      <c r="QT11" t="str">
        <f t="shared" si="174"/>
        <v/>
      </c>
      <c r="QU11" t="str">
        <f t="shared" si="175"/>
        <v/>
      </c>
      <c r="QV11" t="str">
        <f t="shared" si="176"/>
        <v/>
      </c>
      <c r="QW11" t="str">
        <f t="shared" si="177"/>
        <v/>
      </c>
      <c r="QX11" t="str">
        <f t="shared" si="178"/>
        <v/>
      </c>
      <c r="QY11" t="str">
        <f t="shared" si="179"/>
        <v/>
      </c>
      <c r="QZ11" t="str">
        <f t="shared" si="180"/>
        <v/>
      </c>
      <c r="RA11" t="str">
        <f t="shared" si="181"/>
        <v/>
      </c>
      <c r="RB11" t="str">
        <f t="shared" si="182"/>
        <v/>
      </c>
      <c r="RC11" t="str">
        <f t="shared" si="183"/>
        <v/>
      </c>
      <c r="RD11" t="str">
        <f t="shared" si="184"/>
        <v/>
      </c>
      <c r="RE11" t="str">
        <f t="shared" si="185"/>
        <v/>
      </c>
      <c r="RF11" t="str">
        <f t="shared" si="186"/>
        <v/>
      </c>
      <c r="RG11" t="str">
        <f t="shared" si="187"/>
        <v/>
      </c>
      <c r="RH11" t="str">
        <f t="shared" si="188"/>
        <v/>
      </c>
      <c r="RI11" t="str">
        <f t="shared" si="189"/>
        <v/>
      </c>
      <c r="RJ11" t="str">
        <f t="shared" si="190"/>
        <v/>
      </c>
      <c r="RK11" t="str">
        <f t="shared" si="191"/>
        <v/>
      </c>
      <c r="RL11" t="str">
        <f t="shared" si="192"/>
        <v/>
      </c>
      <c r="RM11" t="str">
        <f t="shared" si="193"/>
        <v/>
      </c>
      <c r="RN11" t="str">
        <f t="shared" si="194"/>
        <v/>
      </c>
      <c r="RO11" t="str">
        <f t="shared" si="195"/>
        <v/>
      </c>
      <c r="RP11" t="str">
        <f t="shared" si="196"/>
        <v/>
      </c>
      <c r="RQ11" t="str">
        <f t="shared" si="197"/>
        <v/>
      </c>
      <c r="RR11" t="str">
        <f t="shared" si="198"/>
        <v/>
      </c>
      <c r="RS11" t="str">
        <f t="shared" si="199"/>
        <v/>
      </c>
      <c r="RT11" t="str">
        <f t="shared" si="200"/>
        <v/>
      </c>
      <c r="RU11" t="str">
        <f t="shared" si="201"/>
        <v/>
      </c>
      <c r="RV11" t="str">
        <f t="shared" si="202"/>
        <v/>
      </c>
      <c r="RW11" t="str">
        <f t="shared" si="203"/>
        <v/>
      </c>
      <c r="RX11" t="str">
        <f t="shared" si="204"/>
        <v/>
      </c>
      <c r="RY11" t="str">
        <f t="shared" si="205"/>
        <v/>
      </c>
      <c r="RZ11" t="str">
        <f t="shared" si="206"/>
        <v/>
      </c>
      <c r="SA11" t="str">
        <f t="shared" si="207"/>
        <v/>
      </c>
      <c r="SB11" t="str">
        <f t="shared" si="208"/>
        <v/>
      </c>
      <c r="SC11" t="str">
        <f t="shared" si="209"/>
        <v/>
      </c>
      <c r="SD11" t="str">
        <f t="shared" si="210"/>
        <v/>
      </c>
      <c r="SE11" t="str">
        <f t="shared" si="211"/>
        <v/>
      </c>
      <c r="SF11" t="str">
        <f t="shared" si="212"/>
        <v/>
      </c>
      <c r="SG11" t="str">
        <f t="shared" si="213"/>
        <v/>
      </c>
      <c r="SH11" t="str">
        <f t="shared" si="214"/>
        <v/>
      </c>
      <c r="SI11" t="str">
        <f t="shared" si="215"/>
        <v/>
      </c>
      <c r="SJ11" t="str">
        <f t="shared" si="216"/>
        <v/>
      </c>
      <c r="SK11" t="str">
        <f t="shared" si="217"/>
        <v/>
      </c>
      <c r="SL11" t="str">
        <f t="shared" si="218"/>
        <v/>
      </c>
      <c r="SM11" t="str">
        <f t="shared" si="219"/>
        <v/>
      </c>
      <c r="SN11" t="str">
        <f t="shared" si="220"/>
        <v/>
      </c>
      <c r="SO11" t="str">
        <f t="shared" si="221"/>
        <v/>
      </c>
      <c r="SP11" t="str">
        <f t="shared" si="222"/>
        <v/>
      </c>
    </row>
    <row r="12" spans="2:510" x14ac:dyDescent="0.3">
      <c r="B12" t="s">
        <v>19</v>
      </c>
      <c r="C12" cm="1" vm="8">
        <f t="array" aca="1" ref="C12" ca="1">INDEX(_xlfn.ANCHORARRAY(G12),D12)</f>
        <v>347.62</v>
      </c>
      <c r="D12">
        <f t="shared" ca="1" si="223"/>
        <v>19</v>
      </c>
      <c r="F12" t="s">
        <v>7</v>
      </c>
      <c r="G12" cm="1" vm="29">
        <f t="array" aca="1" ref="G12:Y12" ca="1">TRANSPOSE(_xlfn.STOCKHISTORY(F12,$H$4,G$4,0,0,1))</f>
        <v>390.24</v>
      </c>
      <c r="H12" vm="50">
        <f ca="1"/>
        <v>401.1</v>
      </c>
      <c r="I12" vm="71">
        <f ca="1"/>
        <v>406.29</v>
      </c>
      <c r="J12" vm="91">
        <f ca="1"/>
        <v>412.97</v>
      </c>
      <c r="K12" vm="112">
        <f ca="1"/>
        <v>406.37</v>
      </c>
      <c r="L12" vm="133">
        <f ca="1"/>
        <v>359.93</v>
      </c>
      <c r="M12" vm="154">
        <f ca="1"/>
        <v>339.81</v>
      </c>
      <c r="N12" vm="175">
        <f ca="1"/>
        <v>341.3</v>
      </c>
      <c r="O12" vm="196">
        <f ca="1"/>
        <v>326.02</v>
      </c>
      <c r="P12" vm="217">
        <f ca="1"/>
        <v>329.88</v>
      </c>
      <c r="Q12" vm="238">
        <f ca="1"/>
        <v>340.36</v>
      </c>
      <c r="R12" vm="259">
        <f ca="1"/>
        <v>341.45</v>
      </c>
      <c r="S12" vm="280">
        <f ca="1"/>
        <v>349.32</v>
      </c>
      <c r="T12" vm="301">
        <f ca="1"/>
        <v>350.22</v>
      </c>
      <c r="U12" vm="321">
        <f ca="1"/>
        <v>352.13</v>
      </c>
      <c r="V12" vm="342">
        <f ca="1"/>
        <v>349.39</v>
      </c>
      <c r="W12" vm="362">
        <f ca="1"/>
        <v>349.85</v>
      </c>
      <c r="X12" vm="383">
        <f ca="1"/>
        <v>346.1</v>
      </c>
      <c r="Y12" vm="8">
        <f ca="1"/>
        <v>347.62</v>
      </c>
      <c r="KB12" t="str">
        <f t="shared" si="0"/>
        <v/>
      </c>
      <c r="KC12" t="str">
        <f t="shared" si="1"/>
        <v/>
      </c>
      <c r="KD12" t="str">
        <f t="shared" si="2"/>
        <v/>
      </c>
      <c r="KE12" t="str">
        <f t="shared" si="3"/>
        <v/>
      </c>
      <c r="KF12" t="str">
        <f t="shared" si="4"/>
        <v/>
      </c>
      <c r="KG12" t="str">
        <f t="shared" si="5"/>
        <v/>
      </c>
      <c r="KH12" t="str">
        <f t="shared" si="6"/>
        <v/>
      </c>
      <c r="KI12" t="str">
        <f t="shared" si="7"/>
        <v/>
      </c>
      <c r="KJ12" t="str">
        <f t="shared" si="8"/>
        <v/>
      </c>
      <c r="KK12" t="str">
        <f t="shared" si="9"/>
        <v/>
      </c>
      <c r="KL12" t="str">
        <f t="shared" si="10"/>
        <v/>
      </c>
      <c r="KM12" t="str">
        <f t="shared" si="11"/>
        <v/>
      </c>
      <c r="KN12" t="str">
        <f t="shared" si="12"/>
        <v/>
      </c>
      <c r="KO12" t="str">
        <f t="shared" si="13"/>
        <v/>
      </c>
      <c r="KP12" t="str">
        <f t="shared" si="14"/>
        <v/>
      </c>
      <c r="KQ12" t="str">
        <f t="shared" si="15"/>
        <v/>
      </c>
      <c r="KR12" t="str">
        <f t="shared" si="16"/>
        <v/>
      </c>
      <c r="KS12" t="str">
        <f t="shared" si="17"/>
        <v/>
      </c>
      <c r="KT12" t="str">
        <f t="shared" si="18"/>
        <v/>
      </c>
      <c r="KU12" t="str">
        <f t="shared" si="19"/>
        <v/>
      </c>
      <c r="KV12" t="str">
        <f t="shared" si="20"/>
        <v/>
      </c>
      <c r="KW12" t="str">
        <f t="shared" si="21"/>
        <v/>
      </c>
      <c r="KX12" t="str">
        <f t="shared" si="22"/>
        <v/>
      </c>
      <c r="KY12" t="str">
        <f t="shared" si="23"/>
        <v/>
      </c>
      <c r="KZ12" t="str">
        <f t="shared" si="24"/>
        <v/>
      </c>
      <c r="LA12" t="str">
        <f t="shared" si="25"/>
        <v/>
      </c>
      <c r="LB12" t="str">
        <f t="shared" si="26"/>
        <v/>
      </c>
      <c r="LC12" t="str">
        <f t="shared" si="27"/>
        <v/>
      </c>
      <c r="LD12" t="str">
        <f t="shared" si="28"/>
        <v/>
      </c>
      <c r="LE12" t="str">
        <f t="shared" si="29"/>
        <v/>
      </c>
      <c r="LF12" t="str">
        <f t="shared" si="30"/>
        <v/>
      </c>
      <c r="LG12" t="str">
        <f t="shared" si="31"/>
        <v/>
      </c>
      <c r="LH12" t="str">
        <f t="shared" si="32"/>
        <v/>
      </c>
      <c r="LI12" t="str">
        <f t="shared" si="33"/>
        <v/>
      </c>
      <c r="LJ12" t="str">
        <f t="shared" si="34"/>
        <v/>
      </c>
      <c r="LK12" t="str">
        <f t="shared" si="35"/>
        <v/>
      </c>
      <c r="LL12" t="str">
        <f t="shared" si="36"/>
        <v/>
      </c>
      <c r="LM12" t="str">
        <f t="shared" si="37"/>
        <v/>
      </c>
      <c r="LN12" t="str">
        <f t="shared" si="38"/>
        <v/>
      </c>
      <c r="LO12" t="str">
        <f t="shared" si="39"/>
        <v/>
      </c>
      <c r="LP12" t="str">
        <f t="shared" si="40"/>
        <v/>
      </c>
      <c r="LQ12" t="str">
        <f t="shared" si="41"/>
        <v/>
      </c>
      <c r="LR12" t="str">
        <f t="shared" si="42"/>
        <v/>
      </c>
      <c r="LS12" t="str">
        <f t="shared" si="43"/>
        <v/>
      </c>
      <c r="LT12" t="str">
        <f t="shared" si="44"/>
        <v/>
      </c>
      <c r="LU12" t="str">
        <f t="shared" si="45"/>
        <v/>
      </c>
      <c r="LV12" t="str">
        <f t="shared" si="46"/>
        <v/>
      </c>
      <c r="LW12" t="str">
        <f t="shared" si="47"/>
        <v/>
      </c>
      <c r="LX12" t="str">
        <f t="shared" si="48"/>
        <v/>
      </c>
      <c r="LY12" t="str">
        <f t="shared" si="49"/>
        <v/>
      </c>
      <c r="LZ12" t="str">
        <f t="shared" si="50"/>
        <v/>
      </c>
      <c r="MA12" t="str">
        <f t="shared" si="51"/>
        <v/>
      </c>
      <c r="MB12" t="str">
        <f t="shared" si="52"/>
        <v/>
      </c>
      <c r="MC12" t="str">
        <f t="shared" si="53"/>
        <v/>
      </c>
      <c r="MD12" t="str">
        <f t="shared" si="54"/>
        <v/>
      </c>
      <c r="ME12" t="str">
        <f t="shared" si="55"/>
        <v/>
      </c>
      <c r="MF12" t="str">
        <f t="shared" si="56"/>
        <v/>
      </c>
      <c r="MG12" t="str">
        <f t="shared" si="57"/>
        <v/>
      </c>
      <c r="MH12" t="str">
        <f t="shared" si="58"/>
        <v/>
      </c>
      <c r="MI12" t="str">
        <f t="shared" si="59"/>
        <v/>
      </c>
      <c r="MJ12" t="str">
        <f t="shared" si="60"/>
        <v/>
      </c>
      <c r="MK12" t="str">
        <f t="shared" si="61"/>
        <v/>
      </c>
      <c r="ML12" t="str">
        <f t="shared" si="62"/>
        <v/>
      </c>
      <c r="MM12" t="str">
        <f t="shared" si="63"/>
        <v/>
      </c>
      <c r="MN12" t="str">
        <f t="shared" si="64"/>
        <v/>
      </c>
      <c r="MO12" t="str">
        <f t="shared" si="65"/>
        <v/>
      </c>
      <c r="MP12" t="str">
        <f t="shared" si="66"/>
        <v/>
      </c>
      <c r="MQ12" t="str">
        <f t="shared" si="67"/>
        <v/>
      </c>
      <c r="MR12" t="str">
        <f t="shared" si="68"/>
        <v/>
      </c>
      <c r="MS12" t="str">
        <f t="shared" si="69"/>
        <v/>
      </c>
      <c r="MT12" t="str">
        <f t="shared" si="70"/>
        <v/>
      </c>
      <c r="MU12" t="str">
        <f t="shared" si="71"/>
        <v/>
      </c>
      <c r="MV12" t="str">
        <f t="shared" si="72"/>
        <v/>
      </c>
      <c r="MW12" t="str">
        <f t="shared" si="73"/>
        <v/>
      </c>
      <c r="MX12" t="str">
        <f t="shared" si="74"/>
        <v/>
      </c>
      <c r="MY12" t="str">
        <f t="shared" si="75"/>
        <v/>
      </c>
      <c r="MZ12" t="str">
        <f t="shared" si="76"/>
        <v/>
      </c>
      <c r="NA12" t="str">
        <f t="shared" si="77"/>
        <v/>
      </c>
      <c r="NB12" t="str">
        <f t="shared" si="78"/>
        <v/>
      </c>
      <c r="NC12" t="str">
        <f t="shared" si="79"/>
        <v/>
      </c>
      <c r="ND12" t="str">
        <f t="shared" si="80"/>
        <v/>
      </c>
      <c r="NE12" t="str">
        <f t="shared" si="81"/>
        <v/>
      </c>
      <c r="NF12" t="str">
        <f t="shared" si="82"/>
        <v/>
      </c>
      <c r="NG12" t="str">
        <f t="shared" si="83"/>
        <v/>
      </c>
      <c r="NH12" t="str">
        <f t="shared" si="84"/>
        <v/>
      </c>
      <c r="NI12" t="str">
        <f t="shared" si="85"/>
        <v/>
      </c>
      <c r="NJ12" t="str">
        <f t="shared" si="86"/>
        <v/>
      </c>
      <c r="NK12" t="str">
        <f t="shared" si="87"/>
        <v/>
      </c>
      <c r="NL12" t="str">
        <f t="shared" si="88"/>
        <v/>
      </c>
      <c r="NM12" t="str">
        <f t="shared" si="89"/>
        <v/>
      </c>
      <c r="NN12" t="str">
        <f t="shared" si="90"/>
        <v/>
      </c>
      <c r="NO12" t="str">
        <f t="shared" si="91"/>
        <v/>
      </c>
      <c r="NP12" t="str">
        <f t="shared" si="92"/>
        <v/>
      </c>
      <c r="NQ12" t="str">
        <f t="shared" si="93"/>
        <v/>
      </c>
      <c r="NR12" t="str">
        <f t="shared" si="94"/>
        <v/>
      </c>
      <c r="NS12" t="str">
        <f t="shared" si="95"/>
        <v/>
      </c>
      <c r="NT12" t="str">
        <f t="shared" si="96"/>
        <v/>
      </c>
      <c r="NU12" t="str">
        <f t="shared" si="97"/>
        <v/>
      </c>
      <c r="NV12" t="str">
        <f t="shared" si="98"/>
        <v/>
      </c>
      <c r="NW12" t="str">
        <f t="shared" si="99"/>
        <v/>
      </c>
      <c r="NX12" t="str">
        <f t="shared" si="100"/>
        <v/>
      </c>
      <c r="NY12" t="str">
        <f t="shared" si="101"/>
        <v/>
      </c>
      <c r="NZ12" t="str">
        <f t="shared" si="102"/>
        <v/>
      </c>
      <c r="OA12" t="str">
        <f t="shared" si="103"/>
        <v/>
      </c>
      <c r="OB12" t="str">
        <f t="shared" si="104"/>
        <v/>
      </c>
      <c r="OC12" t="str">
        <f t="shared" si="105"/>
        <v/>
      </c>
      <c r="OD12" t="str">
        <f t="shared" si="106"/>
        <v/>
      </c>
      <c r="OE12" t="str">
        <f t="shared" si="107"/>
        <v/>
      </c>
      <c r="OF12" t="str">
        <f t="shared" si="108"/>
        <v/>
      </c>
      <c r="OG12" t="str">
        <f t="shared" si="109"/>
        <v/>
      </c>
      <c r="OH12" t="str">
        <f t="shared" si="110"/>
        <v/>
      </c>
      <c r="OI12" t="str">
        <f t="shared" si="111"/>
        <v/>
      </c>
      <c r="OJ12" t="str">
        <f t="shared" si="112"/>
        <v/>
      </c>
      <c r="OK12" t="str">
        <f t="shared" si="113"/>
        <v/>
      </c>
      <c r="OL12" t="str">
        <f t="shared" si="114"/>
        <v/>
      </c>
      <c r="OM12" t="str">
        <f t="shared" si="115"/>
        <v/>
      </c>
      <c r="ON12" t="str">
        <f t="shared" si="116"/>
        <v/>
      </c>
      <c r="OO12" t="str">
        <f t="shared" si="117"/>
        <v/>
      </c>
      <c r="OP12" t="str">
        <f t="shared" si="118"/>
        <v/>
      </c>
      <c r="OQ12" t="str">
        <f t="shared" si="119"/>
        <v/>
      </c>
      <c r="OR12" t="str">
        <f t="shared" si="120"/>
        <v/>
      </c>
      <c r="OS12" t="str">
        <f t="shared" si="121"/>
        <v/>
      </c>
      <c r="OT12" t="str">
        <f t="shared" si="122"/>
        <v/>
      </c>
      <c r="OU12" t="str">
        <f t="shared" si="123"/>
        <v/>
      </c>
      <c r="OV12" t="str">
        <f t="shared" si="124"/>
        <v/>
      </c>
      <c r="OW12" t="str">
        <f t="shared" si="125"/>
        <v/>
      </c>
      <c r="OX12" t="str">
        <f t="shared" si="126"/>
        <v/>
      </c>
      <c r="OY12" t="str">
        <f t="shared" si="127"/>
        <v/>
      </c>
      <c r="OZ12" t="str">
        <f t="shared" si="128"/>
        <v/>
      </c>
      <c r="PA12" t="str">
        <f t="shared" si="129"/>
        <v/>
      </c>
      <c r="PB12" t="str">
        <f t="shared" si="130"/>
        <v/>
      </c>
      <c r="PC12" t="str">
        <f t="shared" si="131"/>
        <v/>
      </c>
      <c r="PD12" t="str">
        <f t="shared" si="132"/>
        <v/>
      </c>
      <c r="PE12" t="str">
        <f t="shared" si="133"/>
        <v/>
      </c>
      <c r="PF12" t="str">
        <f t="shared" si="134"/>
        <v/>
      </c>
      <c r="PG12" t="str">
        <f t="shared" si="135"/>
        <v/>
      </c>
      <c r="PH12" t="str">
        <f t="shared" si="136"/>
        <v/>
      </c>
      <c r="PI12" t="str">
        <f t="shared" si="137"/>
        <v/>
      </c>
      <c r="PJ12" t="str">
        <f t="shared" si="138"/>
        <v/>
      </c>
      <c r="PK12" t="str">
        <f t="shared" si="139"/>
        <v/>
      </c>
      <c r="PL12" t="str">
        <f t="shared" si="140"/>
        <v/>
      </c>
      <c r="PM12" t="str">
        <f t="shared" si="141"/>
        <v/>
      </c>
      <c r="PN12" t="str">
        <f t="shared" si="142"/>
        <v/>
      </c>
      <c r="PO12" t="str">
        <f t="shared" si="143"/>
        <v/>
      </c>
      <c r="PP12" t="str">
        <f t="shared" si="144"/>
        <v/>
      </c>
      <c r="PQ12" t="str">
        <f t="shared" si="145"/>
        <v/>
      </c>
      <c r="PR12" t="str">
        <f t="shared" si="146"/>
        <v/>
      </c>
      <c r="PS12" t="str">
        <f t="shared" si="147"/>
        <v/>
      </c>
      <c r="PT12" t="str">
        <f t="shared" si="148"/>
        <v/>
      </c>
      <c r="PU12" t="str">
        <f t="shared" si="149"/>
        <v/>
      </c>
      <c r="PV12" t="str">
        <f t="shared" si="150"/>
        <v/>
      </c>
      <c r="PW12" t="str">
        <f t="shared" si="151"/>
        <v/>
      </c>
      <c r="PX12" t="str">
        <f t="shared" si="152"/>
        <v/>
      </c>
      <c r="PY12" t="str">
        <f t="shared" si="153"/>
        <v/>
      </c>
      <c r="PZ12" t="str">
        <f t="shared" si="154"/>
        <v/>
      </c>
      <c r="QA12" t="str">
        <f t="shared" si="155"/>
        <v/>
      </c>
      <c r="QB12" t="str">
        <f t="shared" si="156"/>
        <v/>
      </c>
      <c r="QC12" t="str">
        <f t="shared" si="157"/>
        <v/>
      </c>
      <c r="QD12" t="str">
        <f t="shared" si="158"/>
        <v/>
      </c>
      <c r="QE12" t="str">
        <f t="shared" si="159"/>
        <v/>
      </c>
      <c r="QF12" t="str">
        <f t="shared" si="160"/>
        <v/>
      </c>
      <c r="QG12" t="str">
        <f t="shared" si="161"/>
        <v/>
      </c>
      <c r="QH12" t="str">
        <f t="shared" si="162"/>
        <v/>
      </c>
      <c r="QI12" t="str">
        <f t="shared" si="163"/>
        <v/>
      </c>
      <c r="QJ12" t="str">
        <f t="shared" si="164"/>
        <v/>
      </c>
      <c r="QK12" t="str">
        <f t="shared" si="165"/>
        <v/>
      </c>
      <c r="QL12" t="str">
        <f t="shared" si="166"/>
        <v/>
      </c>
      <c r="QM12" t="str">
        <f t="shared" si="167"/>
        <v/>
      </c>
      <c r="QN12" t="str">
        <f t="shared" si="168"/>
        <v/>
      </c>
      <c r="QO12" t="str">
        <f t="shared" si="169"/>
        <v/>
      </c>
      <c r="QP12" t="str">
        <f t="shared" si="170"/>
        <v/>
      </c>
      <c r="QQ12" t="str">
        <f t="shared" si="171"/>
        <v/>
      </c>
      <c r="QR12" t="str">
        <f t="shared" si="172"/>
        <v/>
      </c>
      <c r="QS12" t="str">
        <f t="shared" si="173"/>
        <v/>
      </c>
      <c r="QT12" t="str">
        <f t="shared" si="174"/>
        <v/>
      </c>
      <c r="QU12" t="str">
        <f t="shared" si="175"/>
        <v/>
      </c>
      <c r="QV12" t="str">
        <f t="shared" si="176"/>
        <v/>
      </c>
      <c r="QW12" t="str">
        <f t="shared" si="177"/>
        <v/>
      </c>
      <c r="QX12" t="str">
        <f t="shared" si="178"/>
        <v/>
      </c>
      <c r="QY12" t="str">
        <f t="shared" si="179"/>
        <v/>
      </c>
      <c r="QZ12" t="str">
        <f t="shared" si="180"/>
        <v/>
      </c>
      <c r="RA12" t="str">
        <f t="shared" si="181"/>
        <v/>
      </c>
      <c r="RB12" t="str">
        <f t="shared" si="182"/>
        <v/>
      </c>
      <c r="RC12" t="str">
        <f t="shared" si="183"/>
        <v/>
      </c>
      <c r="RD12" t="str">
        <f t="shared" si="184"/>
        <v/>
      </c>
      <c r="RE12" t="str">
        <f t="shared" si="185"/>
        <v/>
      </c>
      <c r="RF12" t="str">
        <f t="shared" si="186"/>
        <v/>
      </c>
      <c r="RG12" t="str">
        <f t="shared" si="187"/>
        <v/>
      </c>
      <c r="RH12" t="str">
        <f t="shared" si="188"/>
        <v/>
      </c>
      <c r="RI12" t="str">
        <f t="shared" si="189"/>
        <v/>
      </c>
      <c r="RJ12" t="str">
        <f t="shared" si="190"/>
        <v/>
      </c>
      <c r="RK12" t="str">
        <f t="shared" si="191"/>
        <v/>
      </c>
      <c r="RL12" t="str">
        <f t="shared" si="192"/>
        <v/>
      </c>
      <c r="RM12" t="str">
        <f t="shared" si="193"/>
        <v/>
      </c>
      <c r="RN12" t="str">
        <f t="shared" si="194"/>
        <v/>
      </c>
      <c r="RO12" t="str">
        <f t="shared" si="195"/>
        <v/>
      </c>
      <c r="RP12" t="str">
        <f t="shared" si="196"/>
        <v/>
      </c>
      <c r="RQ12" t="str">
        <f t="shared" si="197"/>
        <v/>
      </c>
      <c r="RR12" t="str">
        <f t="shared" si="198"/>
        <v/>
      </c>
      <c r="RS12" t="str">
        <f t="shared" si="199"/>
        <v/>
      </c>
      <c r="RT12" t="str">
        <f t="shared" si="200"/>
        <v/>
      </c>
      <c r="RU12" t="str">
        <f t="shared" si="201"/>
        <v/>
      </c>
      <c r="RV12" t="str">
        <f t="shared" si="202"/>
        <v/>
      </c>
      <c r="RW12" t="str">
        <f t="shared" si="203"/>
        <v/>
      </c>
      <c r="RX12" t="str">
        <f t="shared" si="204"/>
        <v/>
      </c>
      <c r="RY12" t="str">
        <f t="shared" si="205"/>
        <v/>
      </c>
      <c r="RZ12" t="str">
        <f t="shared" si="206"/>
        <v/>
      </c>
      <c r="SA12" t="str">
        <f t="shared" si="207"/>
        <v/>
      </c>
      <c r="SB12" t="str">
        <f t="shared" si="208"/>
        <v/>
      </c>
      <c r="SC12" t="str">
        <f t="shared" si="209"/>
        <v/>
      </c>
      <c r="SD12" t="str">
        <f t="shared" si="210"/>
        <v/>
      </c>
      <c r="SE12" t="str">
        <f t="shared" si="211"/>
        <v/>
      </c>
      <c r="SF12" t="str">
        <f t="shared" si="212"/>
        <v/>
      </c>
      <c r="SG12" t="str">
        <f t="shared" si="213"/>
        <v/>
      </c>
      <c r="SH12" t="str">
        <f t="shared" si="214"/>
        <v/>
      </c>
      <c r="SI12" t="str">
        <f t="shared" si="215"/>
        <v/>
      </c>
      <c r="SJ12" t="str">
        <f t="shared" si="216"/>
        <v/>
      </c>
      <c r="SK12" t="str">
        <f t="shared" si="217"/>
        <v/>
      </c>
      <c r="SL12" t="str">
        <f t="shared" si="218"/>
        <v/>
      </c>
      <c r="SM12" t="str">
        <f t="shared" si="219"/>
        <v/>
      </c>
      <c r="SN12" t="str">
        <f t="shared" si="220"/>
        <v/>
      </c>
      <c r="SO12" t="str">
        <f t="shared" si="221"/>
        <v/>
      </c>
      <c r="SP12" t="str">
        <f t="shared" si="222"/>
        <v/>
      </c>
    </row>
    <row r="13" spans="2:510" x14ac:dyDescent="0.3">
      <c r="B13" t="s">
        <v>20</v>
      </c>
      <c r="C13" cm="1" vm="10">
        <f t="array" aca="1" ref="C13" ca="1">INDEX(_xlfn.ANCHORARRAY(G13),D13)</f>
        <v>438.07</v>
      </c>
      <c r="D13">
        <f t="shared" ca="1" si="223"/>
        <v>19</v>
      </c>
      <c r="F13" t="s">
        <v>21</v>
      </c>
      <c r="G13" cm="1" vm="30">
        <f t="array" aca="1" ref="G13:Y13" ca="1">TRANSPOSE(_xlfn.STOCKHISTORY(F13,$H$4,G$4,0,0,1))</f>
        <v>455</v>
      </c>
      <c r="H13" vm="51">
        <f ca="1"/>
        <v>439.58</v>
      </c>
      <c r="I13" vm="72">
        <f ca="1"/>
        <v>445.17</v>
      </c>
      <c r="J13" vm="92">
        <f ca="1"/>
        <v>451.45</v>
      </c>
      <c r="K13" vm="113">
        <f ca="1"/>
        <v>446.89</v>
      </c>
      <c r="L13" vm="134">
        <f ca="1"/>
        <v>458.96</v>
      </c>
      <c r="M13" vm="155">
        <f ca="1"/>
        <v>475.31</v>
      </c>
      <c r="N13" vm="176">
        <f ca="1"/>
        <v>489.88</v>
      </c>
      <c r="O13" vm="197">
        <f ca="1"/>
        <v>467.26</v>
      </c>
      <c r="P13" vm="218">
        <f ca="1"/>
        <v>483.37</v>
      </c>
      <c r="Q13" vm="239">
        <f ca="1"/>
        <v>481.2</v>
      </c>
      <c r="R13" vm="260">
        <f ca="1"/>
        <v>488.73</v>
      </c>
      <c r="S13" vm="281">
        <f ca="1"/>
        <v>485.56</v>
      </c>
      <c r="T13" vm="302">
        <f ca="1"/>
        <v>485.4</v>
      </c>
      <c r="U13" vm="322">
        <f ca="1"/>
        <v>475.19</v>
      </c>
      <c r="V13" vm="343">
        <f ca="1"/>
        <v>459.64</v>
      </c>
      <c r="W13" vm="363">
        <f ca="1"/>
        <v>454.43</v>
      </c>
      <c r="X13" vm="384">
        <f ca="1"/>
        <v>449.72</v>
      </c>
      <c r="Y13" vm="10">
        <f ca="1"/>
        <v>438.07</v>
      </c>
      <c r="KB13" t="str">
        <f t="shared" si="0"/>
        <v/>
      </c>
      <c r="KC13" t="str">
        <f t="shared" si="1"/>
        <v/>
      </c>
      <c r="KD13" t="str">
        <f t="shared" si="2"/>
        <v/>
      </c>
      <c r="KE13" t="str">
        <f t="shared" si="3"/>
        <v/>
      </c>
      <c r="KF13" t="str">
        <f t="shared" si="4"/>
        <v/>
      </c>
      <c r="KG13" t="str">
        <f t="shared" si="5"/>
        <v/>
      </c>
      <c r="KH13" t="str">
        <f t="shared" si="6"/>
        <v/>
      </c>
      <c r="KI13" t="str">
        <f t="shared" si="7"/>
        <v/>
      </c>
      <c r="KJ13" t="str">
        <f t="shared" si="8"/>
        <v/>
      </c>
      <c r="KK13" t="str">
        <f t="shared" si="9"/>
        <v/>
      </c>
      <c r="KL13" t="str">
        <f t="shared" si="10"/>
        <v/>
      </c>
      <c r="KM13" t="str">
        <f t="shared" si="11"/>
        <v/>
      </c>
      <c r="KN13" t="str">
        <f t="shared" si="12"/>
        <v/>
      </c>
      <c r="KO13" t="str">
        <f t="shared" si="13"/>
        <v/>
      </c>
      <c r="KP13" t="str">
        <f t="shared" si="14"/>
        <v/>
      </c>
      <c r="KQ13" t="str">
        <f t="shared" si="15"/>
        <v/>
      </c>
      <c r="KR13" t="str">
        <f t="shared" si="16"/>
        <v/>
      </c>
      <c r="KS13" t="str">
        <f t="shared" si="17"/>
        <v/>
      </c>
      <c r="KT13" t="str">
        <f t="shared" si="18"/>
        <v/>
      </c>
      <c r="KU13" t="str">
        <f t="shared" si="19"/>
        <v/>
      </c>
      <c r="KV13" t="str">
        <f t="shared" si="20"/>
        <v/>
      </c>
      <c r="KW13" t="str">
        <f t="shared" si="21"/>
        <v/>
      </c>
      <c r="KX13" t="str">
        <f t="shared" si="22"/>
        <v/>
      </c>
      <c r="KY13" t="str">
        <f t="shared" si="23"/>
        <v/>
      </c>
      <c r="KZ13" t="str">
        <f t="shared" si="24"/>
        <v/>
      </c>
      <c r="LA13" t="str">
        <f t="shared" si="25"/>
        <v/>
      </c>
      <c r="LB13" t="str">
        <f t="shared" si="26"/>
        <v/>
      </c>
      <c r="LC13" t="str">
        <f t="shared" si="27"/>
        <v/>
      </c>
      <c r="LD13" t="str">
        <f t="shared" si="28"/>
        <v/>
      </c>
      <c r="LE13" t="str">
        <f t="shared" si="29"/>
        <v/>
      </c>
      <c r="LF13" t="str">
        <f t="shared" si="30"/>
        <v/>
      </c>
      <c r="LG13" t="str">
        <f t="shared" si="31"/>
        <v/>
      </c>
      <c r="LH13" t="str">
        <f t="shared" si="32"/>
        <v/>
      </c>
      <c r="LI13" t="str">
        <f t="shared" si="33"/>
        <v/>
      </c>
      <c r="LJ13" t="str">
        <f t="shared" si="34"/>
        <v/>
      </c>
      <c r="LK13" t="str">
        <f t="shared" si="35"/>
        <v/>
      </c>
      <c r="LL13" t="str">
        <f t="shared" si="36"/>
        <v/>
      </c>
      <c r="LM13" t="str">
        <f t="shared" si="37"/>
        <v/>
      </c>
      <c r="LN13" t="str">
        <f t="shared" si="38"/>
        <v/>
      </c>
      <c r="LO13" t="str">
        <f t="shared" si="39"/>
        <v/>
      </c>
      <c r="LP13" t="str">
        <f t="shared" si="40"/>
        <v/>
      </c>
      <c r="LQ13" t="str">
        <f t="shared" si="41"/>
        <v/>
      </c>
      <c r="LR13" t="str">
        <f t="shared" si="42"/>
        <v/>
      </c>
      <c r="LS13" t="str">
        <f t="shared" si="43"/>
        <v/>
      </c>
      <c r="LT13" t="str">
        <f t="shared" si="44"/>
        <v/>
      </c>
      <c r="LU13" t="str">
        <f t="shared" si="45"/>
        <v/>
      </c>
      <c r="LV13" t="str">
        <f t="shared" si="46"/>
        <v/>
      </c>
      <c r="LW13" t="str">
        <f t="shared" si="47"/>
        <v/>
      </c>
      <c r="LX13" t="str">
        <f t="shared" si="48"/>
        <v/>
      </c>
      <c r="LY13" t="str">
        <f t="shared" si="49"/>
        <v/>
      </c>
      <c r="LZ13" t="str">
        <f t="shared" si="50"/>
        <v/>
      </c>
      <c r="MA13" t="str">
        <f t="shared" si="51"/>
        <v/>
      </c>
      <c r="MB13" t="str">
        <f t="shared" si="52"/>
        <v/>
      </c>
      <c r="MC13" t="str">
        <f t="shared" si="53"/>
        <v/>
      </c>
      <c r="MD13" t="str">
        <f t="shared" si="54"/>
        <v/>
      </c>
      <c r="ME13" t="str">
        <f t="shared" si="55"/>
        <v/>
      </c>
      <c r="MF13" t="str">
        <f t="shared" si="56"/>
        <v/>
      </c>
      <c r="MG13" t="str">
        <f t="shared" si="57"/>
        <v/>
      </c>
      <c r="MH13" t="str">
        <f t="shared" si="58"/>
        <v/>
      </c>
      <c r="MI13" t="str">
        <f t="shared" si="59"/>
        <v/>
      </c>
      <c r="MJ13" t="str">
        <f t="shared" si="60"/>
        <v/>
      </c>
      <c r="MK13" t="str">
        <f t="shared" si="61"/>
        <v/>
      </c>
      <c r="ML13" t="str">
        <f t="shared" si="62"/>
        <v/>
      </c>
      <c r="MM13" t="str">
        <f t="shared" si="63"/>
        <v/>
      </c>
      <c r="MN13" t="str">
        <f t="shared" si="64"/>
        <v/>
      </c>
      <c r="MO13" t="str">
        <f t="shared" si="65"/>
        <v/>
      </c>
      <c r="MP13" t="str">
        <f t="shared" si="66"/>
        <v/>
      </c>
      <c r="MQ13" t="str">
        <f t="shared" si="67"/>
        <v/>
      </c>
      <c r="MR13" t="str">
        <f t="shared" si="68"/>
        <v/>
      </c>
      <c r="MS13" t="str">
        <f t="shared" si="69"/>
        <v/>
      </c>
      <c r="MT13" t="str">
        <f t="shared" si="70"/>
        <v/>
      </c>
      <c r="MU13" t="str">
        <f t="shared" si="71"/>
        <v/>
      </c>
      <c r="MV13" t="str">
        <f t="shared" si="72"/>
        <v/>
      </c>
      <c r="MW13" t="str">
        <f t="shared" si="73"/>
        <v/>
      </c>
      <c r="MX13" t="str">
        <f t="shared" si="74"/>
        <v/>
      </c>
      <c r="MY13" t="str">
        <f t="shared" si="75"/>
        <v/>
      </c>
      <c r="MZ13" t="str">
        <f t="shared" si="76"/>
        <v/>
      </c>
      <c r="NA13" t="str">
        <f t="shared" si="77"/>
        <v/>
      </c>
      <c r="NB13" t="str">
        <f t="shared" si="78"/>
        <v/>
      </c>
      <c r="NC13" t="str">
        <f t="shared" si="79"/>
        <v/>
      </c>
      <c r="ND13" t="str">
        <f t="shared" si="80"/>
        <v/>
      </c>
      <c r="NE13" t="str">
        <f t="shared" si="81"/>
        <v/>
      </c>
      <c r="NF13" t="str">
        <f t="shared" si="82"/>
        <v/>
      </c>
      <c r="NG13" t="str">
        <f t="shared" si="83"/>
        <v/>
      </c>
      <c r="NH13" t="str">
        <f t="shared" si="84"/>
        <v/>
      </c>
      <c r="NI13" t="str">
        <f t="shared" si="85"/>
        <v/>
      </c>
      <c r="NJ13" t="str">
        <f t="shared" si="86"/>
        <v/>
      </c>
      <c r="NK13" t="str">
        <f t="shared" si="87"/>
        <v/>
      </c>
      <c r="NL13" t="str">
        <f t="shared" si="88"/>
        <v/>
      </c>
      <c r="NM13" t="str">
        <f t="shared" si="89"/>
        <v/>
      </c>
      <c r="NN13" t="str">
        <f t="shared" si="90"/>
        <v/>
      </c>
      <c r="NO13" t="str">
        <f t="shared" si="91"/>
        <v/>
      </c>
      <c r="NP13" t="str">
        <f t="shared" si="92"/>
        <v/>
      </c>
      <c r="NQ13" t="str">
        <f t="shared" si="93"/>
        <v/>
      </c>
      <c r="NR13" t="str">
        <f t="shared" si="94"/>
        <v/>
      </c>
      <c r="NS13" t="str">
        <f t="shared" si="95"/>
        <v/>
      </c>
      <c r="NT13" t="str">
        <f t="shared" si="96"/>
        <v/>
      </c>
      <c r="NU13" t="str">
        <f t="shared" si="97"/>
        <v/>
      </c>
      <c r="NV13" t="str">
        <f t="shared" si="98"/>
        <v/>
      </c>
      <c r="NW13" t="str">
        <f t="shared" si="99"/>
        <v/>
      </c>
      <c r="NX13" t="str">
        <f t="shared" si="100"/>
        <v/>
      </c>
      <c r="NY13" t="str">
        <f t="shared" si="101"/>
        <v/>
      </c>
      <c r="NZ13" t="str">
        <f t="shared" si="102"/>
        <v/>
      </c>
      <c r="OA13" t="str">
        <f t="shared" si="103"/>
        <v/>
      </c>
      <c r="OB13" t="str">
        <f t="shared" si="104"/>
        <v/>
      </c>
      <c r="OC13" t="str">
        <f t="shared" si="105"/>
        <v/>
      </c>
      <c r="OD13" t="str">
        <f t="shared" si="106"/>
        <v/>
      </c>
      <c r="OE13" t="str">
        <f t="shared" si="107"/>
        <v/>
      </c>
      <c r="OF13" t="str">
        <f t="shared" si="108"/>
        <v/>
      </c>
      <c r="OG13" t="str">
        <f t="shared" si="109"/>
        <v/>
      </c>
      <c r="OH13" t="str">
        <f t="shared" si="110"/>
        <v/>
      </c>
      <c r="OI13" t="str">
        <f t="shared" si="111"/>
        <v/>
      </c>
      <c r="OJ13" t="str">
        <f t="shared" si="112"/>
        <v/>
      </c>
      <c r="OK13" t="str">
        <f t="shared" si="113"/>
        <v/>
      </c>
      <c r="OL13" t="str">
        <f t="shared" si="114"/>
        <v/>
      </c>
      <c r="OM13" t="str">
        <f t="shared" si="115"/>
        <v/>
      </c>
      <c r="ON13" t="str">
        <f t="shared" si="116"/>
        <v/>
      </c>
      <c r="OO13" t="str">
        <f t="shared" si="117"/>
        <v/>
      </c>
      <c r="OP13" t="str">
        <f t="shared" si="118"/>
        <v/>
      </c>
      <c r="OQ13" t="str">
        <f t="shared" si="119"/>
        <v/>
      </c>
      <c r="OR13" t="str">
        <f t="shared" si="120"/>
        <v/>
      </c>
      <c r="OS13" t="str">
        <f t="shared" si="121"/>
        <v/>
      </c>
      <c r="OT13" t="str">
        <f t="shared" si="122"/>
        <v/>
      </c>
      <c r="OU13" t="str">
        <f t="shared" si="123"/>
        <v/>
      </c>
      <c r="OV13" t="str">
        <f t="shared" si="124"/>
        <v/>
      </c>
      <c r="OW13" t="str">
        <f t="shared" si="125"/>
        <v/>
      </c>
      <c r="OX13" t="str">
        <f t="shared" si="126"/>
        <v/>
      </c>
      <c r="OY13" t="str">
        <f t="shared" si="127"/>
        <v/>
      </c>
      <c r="OZ13" t="str">
        <f t="shared" si="128"/>
        <v/>
      </c>
      <c r="PA13" t="str">
        <f t="shared" si="129"/>
        <v/>
      </c>
      <c r="PB13" t="str">
        <f t="shared" si="130"/>
        <v/>
      </c>
      <c r="PC13" t="str">
        <f t="shared" si="131"/>
        <v/>
      </c>
      <c r="PD13" t="str">
        <f t="shared" si="132"/>
        <v/>
      </c>
      <c r="PE13" t="str">
        <f t="shared" si="133"/>
        <v/>
      </c>
      <c r="PF13" t="str">
        <f t="shared" si="134"/>
        <v/>
      </c>
      <c r="PG13" t="str">
        <f t="shared" si="135"/>
        <v/>
      </c>
      <c r="PH13" t="str">
        <f t="shared" si="136"/>
        <v/>
      </c>
      <c r="PI13" t="str">
        <f t="shared" si="137"/>
        <v/>
      </c>
      <c r="PJ13" t="str">
        <f t="shared" si="138"/>
        <v/>
      </c>
      <c r="PK13" t="str">
        <f t="shared" si="139"/>
        <v/>
      </c>
      <c r="PL13" t="str">
        <f t="shared" si="140"/>
        <v/>
      </c>
      <c r="PM13" t="str">
        <f t="shared" si="141"/>
        <v/>
      </c>
      <c r="PN13" t="str">
        <f t="shared" si="142"/>
        <v/>
      </c>
      <c r="PO13" t="str">
        <f t="shared" si="143"/>
        <v/>
      </c>
      <c r="PP13" t="str">
        <f t="shared" si="144"/>
        <v/>
      </c>
      <c r="PQ13" t="str">
        <f t="shared" si="145"/>
        <v/>
      </c>
      <c r="PR13" t="str">
        <f t="shared" si="146"/>
        <v/>
      </c>
      <c r="PS13" t="str">
        <f t="shared" si="147"/>
        <v/>
      </c>
      <c r="PT13" t="str">
        <f t="shared" si="148"/>
        <v/>
      </c>
      <c r="PU13" t="str">
        <f t="shared" si="149"/>
        <v/>
      </c>
      <c r="PV13" t="str">
        <f t="shared" si="150"/>
        <v/>
      </c>
      <c r="PW13" t="str">
        <f t="shared" si="151"/>
        <v/>
      </c>
      <c r="PX13" t="str">
        <f t="shared" si="152"/>
        <v/>
      </c>
      <c r="PY13" t="str">
        <f t="shared" si="153"/>
        <v/>
      </c>
      <c r="PZ13" t="str">
        <f t="shared" si="154"/>
        <v/>
      </c>
      <c r="QA13" t="str">
        <f t="shared" si="155"/>
        <v/>
      </c>
      <c r="QB13" t="str">
        <f t="shared" si="156"/>
        <v/>
      </c>
      <c r="QC13" t="str">
        <f t="shared" si="157"/>
        <v/>
      </c>
      <c r="QD13" t="str">
        <f t="shared" si="158"/>
        <v/>
      </c>
      <c r="QE13" t="str">
        <f t="shared" si="159"/>
        <v/>
      </c>
      <c r="QF13" t="str">
        <f t="shared" si="160"/>
        <v/>
      </c>
      <c r="QG13" t="str">
        <f t="shared" si="161"/>
        <v/>
      </c>
      <c r="QH13" t="str">
        <f t="shared" si="162"/>
        <v/>
      </c>
      <c r="QI13" t="str">
        <f t="shared" si="163"/>
        <v/>
      </c>
      <c r="QJ13" t="str">
        <f t="shared" si="164"/>
        <v/>
      </c>
      <c r="QK13" t="str">
        <f t="shared" si="165"/>
        <v/>
      </c>
      <c r="QL13" t="str">
        <f t="shared" si="166"/>
        <v/>
      </c>
      <c r="QM13" t="str">
        <f t="shared" si="167"/>
        <v/>
      </c>
      <c r="QN13" t="str">
        <f t="shared" si="168"/>
        <v/>
      </c>
      <c r="QO13" t="str">
        <f t="shared" si="169"/>
        <v/>
      </c>
      <c r="QP13" t="str">
        <f t="shared" si="170"/>
        <v/>
      </c>
      <c r="QQ13" t="str">
        <f t="shared" si="171"/>
        <v/>
      </c>
      <c r="QR13" t="str">
        <f t="shared" si="172"/>
        <v/>
      </c>
      <c r="QS13" t="str">
        <f t="shared" si="173"/>
        <v/>
      </c>
      <c r="QT13" t="str">
        <f t="shared" si="174"/>
        <v/>
      </c>
      <c r="QU13" t="str">
        <f t="shared" si="175"/>
        <v/>
      </c>
      <c r="QV13" t="str">
        <f t="shared" si="176"/>
        <v/>
      </c>
      <c r="QW13" t="str">
        <f t="shared" si="177"/>
        <v/>
      </c>
      <c r="QX13" t="str">
        <f t="shared" si="178"/>
        <v/>
      </c>
      <c r="QY13" t="str">
        <f t="shared" si="179"/>
        <v/>
      </c>
      <c r="QZ13" t="str">
        <f t="shared" si="180"/>
        <v/>
      </c>
      <c r="RA13" t="str">
        <f t="shared" si="181"/>
        <v/>
      </c>
      <c r="RB13" t="str">
        <f t="shared" si="182"/>
        <v/>
      </c>
      <c r="RC13" t="str">
        <f t="shared" si="183"/>
        <v/>
      </c>
      <c r="RD13" t="str">
        <f t="shared" si="184"/>
        <v/>
      </c>
      <c r="RE13" t="str">
        <f t="shared" si="185"/>
        <v/>
      </c>
      <c r="RF13" t="str">
        <f t="shared" si="186"/>
        <v/>
      </c>
      <c r="RG13" t="str">
        <f t="shared" si="187"/>
        <v/>
      </c>
      <c r="RH13" t="str">
        <f t="shared" si="188"/>
        <v/>
      </c>
      <c r="RI13" t="str">
        <f t="shared" si="189"/>
        <v/>
      </c>
      <c r="RJ13" t="str">
        <f t="shared" si="190"/>
        <v/>
      </c>
      <c r="RK13" t="str">
        <f t="shared" si="191"/>
        <v/>
      </c>
      <c r="RL13" t="str">
        <f t="shared" si="192"/>
        <v/>
      </c>
      <c r="RM13" t="str">
        <f t="shared" si="193"/>
        <v/>
      </c>
      <c r="RN13" t="str">
        <f t="shared" si="194"/>
        <v/>
      </c>
      <c r="RO13" t="str">
        <f t="shared" si="195"/>
        <v/>
      </c>
      <c r="RP13" t="str">
        <f t="shared" si="196"/>
        <v/>
      </c>
      <c r="RQ13" t="str">
        <f t="shared" si="197"/>
        <v/>
      </c>
      <c r="RR13" t="str">
        <f t="shared" si="198"/>
        <v/>
      </c>
      <c r="RS13" t="str">
        <f t="shared" si="199"/>
        <v/>
      </c>
      <c r="RT13" t="str">
        <f t="shared" si="200"/>
        <v/>
      </c>
      <c r="RU13" t="str">
        <f t="shared" si="201"/>
        <v/>
      </c>
      <c r="RV13" t="str">
        <f t="shared" si="202"/>
        <v/>
      </c>
      <c r="RW13" t="str">
        <f t="shared" si="203"/>
        <v/>
      </c>
      <c r="RX13" t="str">
        <f t="shared" si="204"/>
        <v/>
      </c>
      <c r="RY13" t="str">
        <f t="shared" si="205"/>
        <v/>
      </c>
      <c r="RZ13" t="str">
        <f t="shared" si="206"/>
        <v/>
      </c>
      <c r="SA13" t="str">
        <f t="shared" si="207"/>
        <v/>
      </c>
      <c r="SB13" t="str">
        <f t="shared" si="208"/>
        <v/>
      </c>
      <c r="SC13" t="str">
        <f t="shared" si="209"/>
        <v/>
      </c>
      <c r="SD13" t="str">
        <f t="shared" si="210"/>
        <v/>
      </c>
      <c r="SE13" t="str">
        <f t="shared" si="211"/>
        <v/>
      </c>
      <c r="SF13" t="str">
        <f t="shared" si="212"/>
        <v/>
      </c>
      <c r="SG13" t="str">
        <f t="shared" si="213"/>
        <v/>
      </c>
      <c r="SH13" t="str">
        <f t="shared" si="214"/>
        <v/>
      </c>
      <c r="SI13" t="str">
        <f t="shared" si="215"/>
        <v/>
      </c>
      <c r="SJ13" t="str">
        <f t="shared" si="216"/>
        <v/>
      </c>
      <c r="SK13" t="str">
        <f t="shared" si="217"/>
        <v/>
      </c>
      <c r="SL13" t="str">
        <f t="shared" si="218"/>
        <v/>
      </c>
      <c r="SM13" t="str">
        <f t="shared" si="219"/>
        <v/>
      </c>
      <c r="SN13" t="str">
        <f t="shared" si="220"/>
        <v/>
      </c>
      <c r="SO13" t="str">
        <f t="shared" si="221"/>
        <v/>
      </c>
      <c r="SP13" t="str">
        <f t="shared" si="222"/>
        <v/>
      </c>
    </row>
    <row r="14" spans="2:510" x14ac:dyDescent="0.3">
      <c r="B14" t="s">
        <v>22</v>
      </c>
      <c r="C14" cm="1" vm="11">
        <f t="array" aca="1" ref="C14" ca="1">INDEX(_xlfn.ANCHORARRAY(G14),D14)</f>
        <v>167.86</v>
      </c>
      <c r="D14">
        <f t="shared" ca="1" si="223"/>
        <v>19</v>
      </c>
      <c r="F14" t="s">
        <v>23</v>
      </c>
      <c r="G14" cm="1" vm="31">
        <f t="array" aca="1" ref="G14:Y14" ca="1">TRANSPOSE(_xlfn.STOCKHISTORY(F14,$H$4,G$4,0,0,1))</f>
        <v>181.76</v>
      </c>
      <c r="H14" vm="52">
        <f ca="1"/>
        <v>181.49</v>
      </c>
      <c r="I14" vm="73">
        <f ca="1"/>
        <v>181.84</v>
      </c>
      <c r="J14" vm="93">
        <f ca="1"/>
        <v>187.91</v>
      </c>
      <c r="K14" vm="114">
        <f ca="1"/>
        <v>187.54</v>
      </c>
      <c r="L14" vm="135">
        <f ca="1"/>
        <v>183.57</v>
      </c>
      <c r="M14" vm="156">
        <f ca="1"/>
        <v>183.25</v>
      </c>
      <c r="N14" vm="177">
        <f ca="1"/>
        <v>187.75</v>
      </c>
      <c r="O14" vm="198">
        <f ca="1"/>
        <v>177.29</v>
      </c>
      <c r="P14" vm="219">
        <f ca="1"/>
        <v>185.69</v>
      </c>
      <c r="Q14" vm="240">
        <f ca="1"/>
        <v>193.38</v>
      </c>
      <c r="R14" vm="261">
        <f ca="1"/>
        <v>193.98</v>
      </c>
      <c r="S14" vm="282">
        <f ca="1"/>
        <v>194.13</v>
      </c>
      <c r="T14" vm="303">
        <f ca="1"/>
        <v>194.17</v>
      </c>
      <c r="U14" vm="323">
        <f ca="1"/>
        <v>188.71</v>
      </c>
      <c r="V14" vm="344">
        <f ca="1"/>
        <v>184.18</v>
      </c>
      <c r="W14" vm="364">
        <f ca="1"/>
        <v>180.84</v>
      </c>
      <c r="X14" vm="385">
        <f ca="1"/>
        <v>177.75</v>
      </c>
      <c r="Y14" vm="11">
        <f ca="1"/>
        <v>167.86</v>
      </c>
      <c r="KB14" t="str">
        <f t="shared" si="0"/>
        <v/>
      </c>
      <c r="KC14" t="str">
        <f t="shared" si="1"/>
        <v/>
      </c>
      <c r="KD14" t="str">
        <f t="shared" si="2"/>
        <v/>
      </c>
      <c r="KE14" t="str">
        <f t="shared" si="3"/>
        <v/>
      </c>
      <c r="KF14" t="str">
        <f t="shared" si="4"/>
        <v/>
      </c>
      <c r="KG14" t="str">
        <f t="shared" si="5"/>
        <v/>
      </c>
      <c r="KH14" t="str">
        <f t="shared" si="6"/>
        <v/>
      </c>
      <c r="KI14" t="str">
        <f t="shared" si="7"/>
        <v/>
      </c>
      <c r="KJ14" t="str">
        <f t="shared" si="8"/>
        <v/>
      </c>
      <c r="KK14" t="str">
        <f t="shared" si="9"/>
        <v/>
      </c>
      <c r="KL14" t="str">
        <f t="shared" si="10"/>
        <v/>
      </c>
      <c r="KM14" t="str">
        <f t="shared" si="11"/>
        <v/>
      </c>
      <c r="KN14" t="str">
        <f t="shared" si="12"/>
        <v/>
      </c>
      <c r="KO14" t="str">
        <f t="shared" si="13"/>
        <v/>
      </c>
      <c r="KP14" t="str">
        <f t="shared" si="14"/>
        <v/>
      </c>
      <c r="KQ14" t="str">
        <f t="shared" si="15"/>
        <v/>
      </c>
      <c r="KR14" t="str">
        <f t="shared" si="16"/>
        <v/>
      </c>
      <c r="KS14" t="str">
        <f t="shared" si="17"/>
        <v/>
      </c>
      <c r="KT14" t="str">
        <f t="shared" si="18"/>
        <v/>
      </c>
      <c r="KU14" t="str">
        <f t="shared" si="19"/>
        <v/>
      </c>
      <c r="KV14" t="str">
        <f t="shared" si="20"/>
        <v/>
      </c>
      <c r="KW14" t="str">
        <f t="shared" si="21"/>
        <v/>
      </c>
      <c r="KX14" t="str">
        <f t="shared" si="22"/>
        <v/>
      </c>
      <c r="KY14" t="str">
        <f t="shared" si="23"/>
        <v/>
      </c>
      <c r="KZ14" t="str">
        <f t="shared" si="24"/>
        <v/>
      </c>
      <c r="LA14" t="str">
        <f t="shared" si="25"/>
        <v/>
      </c>
      <c r="LB14" t="str">
        <f t="shared" si="26"/>
        <v/>
      </c>
      <c r="LC14" t="str">
        <f t="shared" si="27"/>
        <v/>
      </c>
      <c r="LD14" t="str">
        <f t="shared" si="28"/>
        <v/>
      </c>
      <c r="LE14" t="str">
        <f t="shared" si="29"/>
        <v/>
      </c>
      <c r="LF14" t="str">
        <f t="shared" si="30"/>
        <v/>
      </c>
      <c r="LG14" t="str">
        <f t="shared" si="31"/>
        <v/>
      </c>
      <c r="LH14" t="str">
        <f t="shared" si="32"/>
        <v/>
      </c>
      <c r="LI14" t="str">
        <f t="shared" si="33"/>
        <v/>
      </c>
      <c r="LJ14" t="str">
        <f t="shared" si="34"/>
        <v/>
      </c>
      <c r="LK14" t="str">
        <f t="shared" si="35"/>
        <v/>
      </c>
      <c r="LL14" t="str">
        <f t="shared" si="36"/>
        <v/>
      </c>
      <c r="LM14" t="str">
        <f t="shared" si="37"/>
        <v/>
      </c>
      <c r="LN14" t="str">
        <f t="shared" si="38"/>
        <v/>
      </c>
      <c r="LO14" t="str">
        <f t="shared" si="39"/>
        <v/>
      </c>
      <c r="LP14" t="str">
        <f t="shared" si="40"/>
        <v/>
      </c>
      <c r="LQ14" t="str">
        <f t="shared" si="41"/>
        <v/>
      </c>
      <c r="LR14" t="str">
        <f t="shared" si="42"/>
        <v/>
      </c>
      <c r="LS14" t="str">
        <f t="shared" si="43"/>
        <v/>
      </c>
      <c r="LT14" t="str">
        <f t="shared" si="44"/>
        <v/>
      </c>
      <c r="LU14" t="str">
        <f t="shared" si="45"/>
        <v/>
      </c>
      <c r="LV14" t="str">
        <f t="shared" si="46"/>
        <v/>
      </c>
      <c r="LW14" t="str">
        <f t="shared" si="47"/>
        <v/>
      </c>
      <c r="LX14" t="str">
        <f t="shared" si="48"/>
        <v/>
      </c>
      <c r="LY14" t="str">
        <f t="shared" si="49"/>
        <v/>
      </c>
      <c r="LZ14" t="str">
        <f t="shared" si="50"/>
        <v/>
      </c>
      <c r="MA14" t="str">
        <f t="shared" si="51"/>
        <v/>
      </c>
      <c r="MB14" t="str">
        <f t="shared" si="52"/>
        <v/>
      </c>
      <c r="MC14" t="str">
        <f t="shared" si="53"/>
        <v/>
      </c>
      <c r="MD14" t="str">
        <f t="shared" si="54"/>
        <v/>
      </c>
      <c r="ME14" t="str">
        <f t="shared" si="55"/>
        <v/>
      </c>
      <c r="MF14" t="str">
        <f t="shared" si="56"/>
        <v/>
      </c>
      <c r="MG14" t="str">
        <f t="shared" si="57"/>
        <v/>
      </c>
      <c r="MH14" t="str">
        <f t="shared" si="58"/>
        <v/>
      </c>
      <c r="MI14" t="str">
        <f t="shared" si="59"/>
        <v/>
      </c>
      <c r="MJ14" t="str">
        <f t="shared" si="60"/>
        <v/>
      </c>
      <c r="MK14" t="str">
        <f t="shared" si="61"/>
        <v/>
      </c>
      <c r="ML14" t="str">
        <f t="shared" si="62"/>
        <v/>
      </c>
      <c r="MM14" t="str">
        <f t="shared" si="63"/>
        <v/>
      </c>
      <c r="MN14" t="str">
        <f t="shared" si="64"/>
        <v/>
      </c>
      <c r="MO14" t="str">
        <f t="shared" si="65"/>
        <v/>
      </c>
      <c r="MP14" t="str">
        <f t="shared" si="66"/>
        <v/>
      </c>
      <c r="MQ14" t="str">
        <f t="shared" si="67"/>
        <v/>
      </c>
      <c r="MR14" t="str">
        <f t="shared" si="68"/>
        <v/>
      </c>
      <c r="MS14" t="str">
        <f t="shared" si="69"/>
        <v/>
      </c>
      <c r="MT14" t="str">
        <f t="shared" si="70"/>
        <v/>
      </c>
      <c r="MU14" t="str">
        <f t="shared" si="71"/>
        <v/>
      </c>
      <c r="MV14" t="str">
        <f t="shared" si="72"/>
        <v/>
      </c>
      <c r="MW14" t="str">
        <f t="shared" si="73"/>
        <v/>
      </c>
      <c r="MX14" t="str">
        <f t="shared" si="74"/>
        <v/>
      </c>
      <c r="MY14" t="str">
        <f t="shared" si="75"/>
        <v/>
      </c>
      <c r="MZ14" t="str">
        <f t="shared" si="76"/>
        <v/>
      </c>
      <c r="NA14" t="str">
        <f t="shared" si="77"/>
        <v/>
      </c>
      <c r="NB14" t="str">
        <f t="shared" si="78"/>
        <v/>
      </c>
      <c r="NC14" t="str">
        <f t="shared" si="79"/>
        <v/>
      </c>
      <c r="ND14" t="str">
        <f t="shared" si="80"/>
        <v/>
      </c>
      <c r="NE14" t="str">
        <f t="shared" si="81"/>
        <v/>
      </c>
      <c r="NF14" t="str">
        <f t="shared" si="82"/>
        <v/>
      </c>
      <c r="NG14" t="str">
        <f t="shared" si="83"/>
        <v/>
      </c>
      <c r="NH14" t="str">
        <f t="shared" si="84"/>
        <v/>
      </c>
      <c r="NI14" t="str">
        <f t="shared" si="85"/>
        <v/>
      </c>
      <c r="NJ14" t="str">
        <f t="shared" si="86"/>
        <v/>
      </c>
      <c r="NK14" t="str">
        <f t="shared" si="87"/>
        <v/>
      </c>
      <c r="NL14" t="str">
        <f t="shared" si="88"/>
        <v/>
      </c>
      <c r="NM14" t="str">
        <f t="shared" si="89"/>
        <v/>
      </c>
      <c r="NN14" t="str">
        <f t="shared" si="90"/>
        <v/>
      </c>
      <c r="NO14" t="str">
        <f t="shared" si="91"/>
        <v/>
      </c>
      <c r="NP14" t="str">
        <f t="shared" si="92"/>
        <v/>
      </c>
      <c r="NQ14" t="str">
        <f t="shared" si="93"/>
        <v/>
      </c>
      <c r="NR14" t="str">
        <f t="shared" si="94"/>
        <v/>
      </c>
      <c r="NS14" t="str">
        <f t="shared" si="95"/>
        <v/>
      </c>
      <c r="NT14" t="str">
        <f t="shared" si="96"/>
        <v/>
      </c>
      <c r="NU14" t="str">
        <f t="shared" si="97"/>
        <v/>
      </c>
      <c r="NV14" t="str">
        <f t="shared" si="98"/>
        <v/>
      </c>
      <c r="NW14" t="str">
        <f t="shared" si="99"/>
        <v/>
      </c>
      <c r="NX14" t="str">
        <f t="shared" si="100"/>
        <v/>
      </c>
      <c r="NY14" t="str">
        <f t="shared" si="101"/>
        <v/>
      </c>
      <c r="NZ14" t="str">
        <f t="shared" si="102"/>
        <v/>
      </c>
      <c r="OA14" t="str">
        <f t="shared" si="103"/>
        <v/>
      </c>
      <c r="OB14" t="str">
        <f t="shared" si="104"/>
        <v/>
      </c>
      <c r="OC14" t="str">
        <f t="shared" si="105"/>
        <v/>
      </c>
      <c r="OD14" t="str">
        <f t="shared" si="106"/>
        <v/>
      </c>
      <c r="OE14" t="str">
        <f t="shared" si="107"/>
        <v/>
      </c>
      <c r="OF14" t="str">
        <f t="shared" si="108"/>
        <v/>
      </c>
      <c r="OG14" t="str">
        <f t="shared" si="109"/>
        <v/>
      </c>
      <c r="OH14" t="str">
        <f t="shared" si="110"/>
        <v/>
      </c>
      <c r="OI14" t="str">
        <f t="shared" si="111"/>
        <v/>
      </c>
      <c r="OJ14" t="str">
        <f t="shared" si="112"/>
        <v/>
      </c>
      <c r="OK14" t="str">
        <f t="shared" si="113"/>
        <v/>
      </c>
      <c r="OL14" t="str">
        <f t="shared" si="114"/>
        <v/>
      </c>
      <c r="OM14" t="str">
        <f t="shared" si="115"/>
        <v/>
      </c>
      <c r="ON14" t="str">
        <f t="shared" si="116"/>
        <v/>
      </c>
      <c r="OO14" t="str">
        <f t="shared" si="117"/>
        <v/>
      </c>
      <c r="OP14" t="str">
        <f t="shared" si="118"/>
        <v/>
      </c>
      <c r="OQ14" t="str">
        <f t="shared" si="119"/>
        <v/>
      </c>
      <c r="OR14" t="str">
        <f t="shared" si="120"/>
        <v/>
      </c>
      <c r="OS14" t="str">
        <f t="shared" si="121"/>
        <v/>
      </c>
      <c r="OT14" t="str">
        <f t="shared" si="122"/>
        <v/>
      </c>
      <c r="OU14" t="str">
        <f t="shared" si="123"/>
        <v/>
      </c>
      <c r="OV14" t="str">
        <f t="shared" si="124"/>
        <v/>
      </c>
      <c r="OW14" t="str">
        <f t="shared" si="125"/>
        <v/>
      </c>
      <c r="OX14" t="str">
        <f t="shared" si="126"/>
        <v/>
      </c>
      <c r="OY14" t="str">
        <f t="shared" si="127"/>
        <v/>
      </c>
      <c r="OZ14" t="str">
        <f t="shared" si="128"/>
        <v/>
      </c>
      <c r="PA14" t="str">
        <f t="shared" si="129"/>
        <v/>
      </c>
      <c r="PB14" t="str">
        <f t="shared" si="130"/>
        <v/>
      </c>
      <c r="PC14" t="str">
        <f t="shared" si="131"/>
        <v/>
      </c>
      <c r="PD14" t="str">
        <f t="shared" si="132"/>
        <v/>
      </c>
      <c r="PE14" t="str">
        <f t="shared" si="133"/>
        <v/>
      </c>
      <c r="PF14" t="str">
        <f t="shared" si="134"/>
        <v/>
      </c>
      <c r="PG14" t="str">
        <f t="shared" si="135"/>
        <v/>
      </c>
      <c r="PH14" t="str">
        <f t="shared" si="136"/>
        <v/>
      </c>
      <c r="PI14" t="str">
        <f t="shared" si="137"/>
        <v/>
      </c>
      <c r="PJ14" t="str">
        <f t="shared" si="138"/>
        <v/>
      </c>
      <c r="PK14" t="str">
        <f t="shared" si="139"/>
        <v/>
      </c>
      <c r="PL14" t="str">
        <f t="shared" si="140"/>
        <v/>
      </c>
      <c r="PM14" t="str">
        <f t="shared" si="141"/>
        <v/>
      </c>
      <c r="PN14" t="str">
        <f t="shared" si="142"/>
        <v/>
      </c>
      <c r="PO14" t="str">
        <f t="shared" si="143"/>
        <v/>
      </c>
      <c r="PP14" t="str">
        <f t="shared" si="144"/>
        <v/>
      </c>
      <c r="PQ14" t="str">
        <f t="shared" si="145"/>
        <v/>
      </c>
      <c r="PR14" t="str">
        <f t="shared" si="146"/>
        <v/>
      </c>
      <c r="PS14" t="str">
        <f t="shared" si="147"/>
        <v/>
      </c>
      <c r="PT14" t="str">
        <f t="shared" si="148"/>
        <v/>
      </c>
      <c r="PU14" t="str">
        <f t="shared" si="149"/>
        <v/>
      </c>
      <c r="PV14" t="str">
        <f t="shared" si="150"/>
        <v/>
      </c>
      <c r="PW14" t="str">
        <f t="shared" si="151"/>
        <v/>
      </c>
      <c r="PX14" t="str">
        <f t="shared" si="152"/>
        <v/>
      </c>
      <c r="PY14" t="str">
        <f t="shared" si="153"/>
        <v/>
      </c>
      <c r="PZ14" t="str">
        <f t="shared" si="154"/>
        <v/>
      </c>
      <c r="QA14" t="str">
        <f t="shared" si="155"/>
        <v/>
      </c>
      <c r="QB14" t="str">
        <f t="shared" si="156"/>
        <v/>
      </c>
      <c r="QC14" t="str">
        <f t="shared" si="157"/>
        <v/>
      </c>
      <c r="QD14" t="str">
        <f t="shared" si="158"/>
        <v/>
      </c>
      <c r="QE14" t="str">
        <f t="shared" si="159"/>
        <v/>
      </c>
      <c r="QF14" t="str">
        <f t="shared" si="160"/>
        <v/>
      </c>
      <c r="QG14" t="str">
        <f t="shared" si="161"/>
        <v/>
      </c>
      <c r="QH14" t="str">
        <f t="shared" si="162"/>
        <v/>
      </c>
      <c r="QI14" t="str">
        <f t="shared" si="163"/>
        <v/>
      </c>
      <c r="QJ14" t="str">
        <f t="shared" si="164"/>
        <v/>
      </c>
      <c r="QK14" t="str">
        <f t="shared" si="165"/>
        <v/>
      </c>
      <c r="QL14" t="str">
        <f t="shared" si="166"/>
        <v/>
      </c>
      <c r="QM14" t="str">
        <f t="shared" si="167"/>
        <v/>
      </c>
      <c r="QN14" t="str">
        <f t="shared" si="168"/>
        <v/>
      </c>
      <c r="QO14" t="str">
        <f t="shared" si="169"/>
        <v/>
      </c>
      <c r="QP14" t="str">
        <f t="shared" si="170"/>
        <v/>
      </c>
      <c r="QQ14" t="str">
        <f t="shared" si="171"/>
        <v/>
      </c>
      <c r="QR14" t="str">
        <f t="shared" si="172"/>
        <v/>
      </c>
      <c r="QS14" t="str">
        <f t="shared" si="173"/>
        <v/>
      </c>
      <c r="QT14" t="str">
        <f t="shared" si="174"/>
        <v/>
      </c>
      <c r="QU14" t="str">
        <f t="shared" si="175"/>
        <v/>
      </c>
      <c r="QV14" t="str">
        <f t="shared" si="176"/>
        <v/>
      </c>
      <c r="QW14" t="str">
        <f t="shared" si="177"/>
        <v/>
      </c>
      <c r="QX14" t="str">
        <f t="shared" si="178"/>
        <v/>
      </c>
      <c r="QY14" t="str">
        <f t="shared" si="179"/>
        <v/>
      </c>
      <c r="QZ14" t="str">
        <f t="shared" si="180"/>
        <v/>
      </c>
      <c r="RA14" t="str">
        <f t="shared" si="181"/>
        <v/>
      </c>
      <c r="RB14" t="str">
        <f t="shared" si="182"/>
        <v/>
      </c>
      <c r="RC14" t="str">
        <f t="shared" si="183"/>
        <v/>
      </c>
      <c r="RD14" t="str">
        <f t="shared" si="184"/>
        <v/>
      </c>
      <c r="RE14" t="str">
        <f t="shared" si="185"/>
        <v/>
      </c>
      <c r="RF14" t="str">
        <f t="shared" si="186"/>
        <v/>
      </c>
      <c r="RG14" t="str">
        <f t="shared" si="187"/>
        <v/>
      </c>
      <c r="RH14" t="str">
        <f t="shared" si="188"/>
        <v/>
      </c>
      <c r="RI14" t="str">
        <f t="shared" si="189"/>
        <v/>
      </c>
      <c r="RJ14" t="str">
        <f t="shared" si="190"/>
        <v/>
      </c>
      <c r="RK14" t="str">
        <f t="shared" si="191"/>
        <v/>
      </c>
      <c r="RL14" t="str">
        <f t="shared" si="192"/>
        <v/>
      </c>
      <c r="RM14" t="str">
        <f t="shared" si="193"/>
        <v/>
      </c>
      <c r="RN14" t="str">
        <f t="shared" si="194"/>
        <v/>
      </c>
      <c r="RO14" t="str">
        <f t="shared" si="195"/>
        <v/>
      </c>
      <c r="RP14" t="str">
        <f t="shared" si="196"/>
        <v/>
      </c>
      <c r="RQ14" t="str">
        <f t="shared" si="197"/>
        <v/>
      </c>
      <c r="RR14" t="str">
        <f t="shared" si="198"/>
        <v/>
      </c>
      <c r="RS14" t="str">
        <f t="shared" si="199"/>
        <v/>
      </c>
      <c r="RT14" t="str">
        <f t="shared" si="200"/>
        <v/>
      </c>
      <c r="RU14" t="str">
        <f t="shared" si="201"/>
        <v/>
      </c>
      <c r="RV14" t="str">
        <f t="shared" si="202"/>
        <v/>
      </c>
      <c r="RW14" t="str">
        <f t="shared" si="203"/>
        <v/>
      </c>
      <c r="RX14" t="str">
        <f t="shared" si="204"/>
        <v/>
      </c>
      <c r="RY14" t="str">
        <f t="shared" si="205"/>
        <v/>
      </c>
      <c r="RZ14" t="str">
        <f t="shared" si="206"/>
        <v/>
      </c>
      <c r="SA14" t="str">
        <f t="shared" si="207"/>
        <v/>
      </c>
      <c r="SB14" t="str">
        <f t="shared" si="208"/>
        <v/>
      </c>
      <c r="SC14" t="str">
        <f t="shared" si="209"/>
        <v/>
      </c>
      <c r="SD14" t="str">
        <f t="shared" si="210"/>
        <v/>
      </c>
      <c r="SE14" t="str">
        <f t="shared" si="211"/>
        <v/>
      </c>
      <c r="SF14" t="str">
        <f t="shared" si="212"/>
        <v/>
      </c>
      <c r="SG14" t="str">
        <f t="shared" si="213"/>
        <v/>
      </c>
      <c r="SH14" t="str">
        <f t="shared" si="214"/>
        <v/>
      </c>
      <c r="SI14" t="str">
        <f t="shared" si="215"/>
        <v/>
      </c>
      <c r="SJ14" t="str">
        <f t="shared" si="216"/>
        <v/>
      </c>
      <c r="SK14" t="str">
        <f t="shared" si="217"/>
        <v/>
      </c>
      <c r="SL14" t="str">
        <f t="shared" si="218"/>
        <v/>
      </c>
      <c r="SM14" t="str">
        <f t="shared" si="219"/>
        <v/>
      </c>
      <c r="SN14" t="str">
        <f t="shared" si="220"/>
        <v/>
      </c>
      <c r="SO14" t="str">
        <f t="shared" si="221"/>
        <v/>
      </c>
      <c r="SP14" t="str">
        <f t="shared" si="222"/>
        <v/>
      </c>
    </row>
    <row r="15" spans="2:510" x14ac:dyDescent="0.3">
      <c r="B15" t="s">
        <v>24</v>
      </c>
      <c r="C15" cm="1" vm="12">
        <f t="array" aca="1" ref="C15" ca="1">INDEX(_xlfn.ANCHORARRAY(G15),D15)</f>
        <v>1163.78</v>
      </c>
      <c r="D15">
        <f t="shared" ca="1" si="223"/>
        <v>19</v>
      </c>
      <c r="F15" t="s">
        <v>25</v>
      </c>
      <c r="G15" cm="1" vm="32">
        <f t="array" aca="1" ref="G15:Y15" ca="1">TRANSPOSE(_xlfn.STOCKHISTORY(F15,$H$4,G$4,0,0,1))</f>
        <v>1099.47</v>
      </c>
      <c r="H15" vm="53">
        <f ca="1"/>
        <v>1119.69</v>
      </c>
      <c r="I15" vm="74">
        <f ca="1"/>
        <v>1111.44</v>
      </c>
      <c r="J15" vm="94">
        <f ca="1"/>
        <v>1119.32</v>
      </c>
      <c r="K15" vm="115">
        <f ca="1"/>
        <v>1122.8399999999999</v>
      </c>
      <c r="L15" vm="136">
        <f ca="1"/>
        <v>1080.8499999999999</v>
      </c>
      <c r="M15" vm="157">
        <f ca="1"/>
        <v>1087.82</v>
      </c>
      <c r="N15" vm="178">
        <f ca="1"/>
        <v>1076.05</v>
      </c>
      <c r="O15" vm="199">
        <f ca="1"/>
        <v>1015.43</v>
      </c>
      <c r="P15" vm="220">
        <f ca="1"/>
        <v>1036.31</v>
      </c>
      <c r="Q15" vm="241">
        <f ca="1"/>
        <v>1056.02</v>
      </c>
      <c r="R15" vm="262">
        <f ca="1"/>
        <v>1056.98</v>
      </c>
      <c r="S15" vm="283">
        <f ca="1"/>
        <v>1061.8399999999999</v>
      </c>
      <c r="T15" vm="304">
        <f ca="1"/>
        <v>1065.52</v>
      </c>
      <c r="U15" vm="324">
        <f ca="1"/>
        <v>1072.75</v>
      </c>
      <c r="V15" vm="345">
        <f ca="1"/>
        <v>1065.9949999999999</v>
      </c>
      <c r="W15" vm="365">
        <f ca="1"/>
        <v>1072.1400000000001</v>
      </c>
      <c r="X15" vm="386">
        <f ca="1"/>
        <v>1069.8599999999999</v>
      </c>
      <c r="Y15" vm="12">
        <f ca="1"/>
        <v>1163.78</v>
      </c>
      <c r="KB15" t="str">
        <f t="shared" si="0"/>
        <v/>
      </c>
      <c r="KC15" t="str">
        <f t="shared" si="1"/>
        <v/>
      </c>
      <c r="KD15" t="str">
        <f t="shared" si="2"/>
        <v/>
      </c>
      <c r="KE15" t="str">
        <f t="shared" si="3"/>
        <v/>
      </c>
      <c r="KF15" t="str">
        <f t="shared" si="4"/>
        <v/>
      </c>
      <c r="KG15" t="str">
        <f t="shared" si="5"/>
        <v/>
      </c>
      <c r="KH15" t="str">
        <f t="shared" si="6"/>
        <v/>
      </c>
      <c r="KI15" t="str">
        <f t="shared" si="7"/>
        <v/>
      </c>
      <c r="KJ15" t="str">
        <f t="shared" si="8"/>
        <v/>
      </c>
      <c r="KK15" t="str">
        <f t="shared" si="9"/>
        <v/>
      </c>
      <c r="KL15" t="str">
        <f t="shared" si="10"/>
        <v/>
      </c>
      <c r="KM15" t="str">
        <f t="shared" si="11"/>
        <v/>
      </c>
      <c r="KN15" t="str">
        <f t="shared" si="12"/>
        <v/>
      </c>
      <c r="KO15" t="str">
        <f t="shared" si="13"/>
        <v/>
      </c>
      <c r="KP15" t="str">
        <f t="shared" si="14"/>
        <v/>
      </c>
      <c r="KQ15" t="str">
        <f t="shared" si="15"/>
        <v/>
      </c>
      <c r="KR15" t="str">
        <f t="shared" si="16"/>
        <v/>
      </c>
      <c r="KS15" t="str">
        <f t="shared" si="17"/>
        <v/>
      </c>
      <c r="KT15" t="str">
        <f t="shared" si="18"/>
        <v/>
      </c>
      <c r="KU15" t="str">
        <f t="shared" si="19"/>
        <v/>
      </c>
      <c r="KV15" t="str">
        <f t="shared" si="20"/>
        <v/>
      </c>
      <c r="KW15" t="str">
        <f t="shared" si="21"/>
        <v/>
      </c>
      <c r="KX15" t="str">
        <f t="shared" si="22"/>
        <v/>
      </c>
      <c r="KY15" t="str">
        <f t="shared" si="23"/>
        <v/>
      </c>
      <c r="KZ15" t="str">
        <f t="shared" si="24"/>
        <v/>
      </c>
      <c r="LA15" t="str">
        <f t="shared" si="25"/>
        <v/>
      </c>
      <c r="LB15" t="str">
        <f t="shared" si="26"/>
        <v/>
      </c>
      <c r="LC15" t="str">
        <f t="shared" si="27"/>
        <v/>
      </c>
      <c r="LD15" t="str">
        <f t="shared" si="28"/>
        <v/>
      </c>
      <c r="LE15" t="str">
        <f t="shared" si="29"/>
        <v/>
      </c>
      <c r="LF15" t="str">
        <f t="shared" si="30"/>
        <v/>
      </c>
      <c r="LG15" t="str">
        <f t="shared" si="31"/>
        <v/>
      </c>
      <c r="LH15" t="str">
        <f t="shared" si="32"/>
        <v/>
      </c>
      <c r="LI15" t="str">
        <f t="shared" si="33"/>
        <v/>
      </c>
      <c r="LJ15" t="str">
        <f t="shared" si="34"/>
        <v/>
      </c>
      <c r="LK15" t="str">
        <f t="shared" si="35"/>
        <v/>
      </c>
      <c r="LL15" t="str">
        <f t="shared" si="36"/>
        <v/>
      </c>
      <c r="LM15" t="str">
        <f t="shared" si="37"/>
        <v/>
      </c>
      <c r="LN15" t="str">
        <f t="shared" si="38"/>
        <v/>
      </c>
      <c r="LO15" t="str">
        <f t="shared" si="39"/>
        <v/>
      </c>
      <c r="LP15" t="str">
        <f t="shared" si="40"/>
        <v/>
      </c>
      <c r="LQ15" t="str">
        <f t="shared" si="41"/>
        <v/>
      </c>
      <c r="LR15" t="str">
        <f t="shared" si="42"/>
        <v/>
      </c>
      <c r="LS15" t="str">
        <f t="shared" si="43"/>
        <v/>
      </c>
      <c r="LT15" t="str">
        <f t="shared" si="44"/>
        <v/>
      </c>
      <c r="LU15" t="str">
        <f t="shared" si="45"/>
        <v/>
      </c>
      <c r="LV15" t="str">
        <f t="shared" si="46"/>
        <v/>
      </c>
      <c r="LW15" t="str">
        <f t="shared" si="47"/>
        <v/>
      </c>
      <c r="LX15" t="str">
        <f t="shared" si="48"/>
        <v/>
      </c>
      <c r="LY15" t="str">
        <f t="shared" si="49"/>
        <v/>
      </c>
      <c r="LZ15" t="str">
        <f t="shared" si="50"/>
        <v/>
      </c>
      <c r="MA15" t="str">
        <f t="shared" si="51"/>
        <v/>
      </c>
      <c r="MB15" t="str">
        <f t="shared" si="52"/>
        <v/>
      </c>
      <c r="MC15" t="str">
        <f t="shared" si="53"/>
        <v/>
      </c>
      <c r="MD15" t="str">
        <f t="shared" si="54"/>
        <v/>
      </c>
      <c r="ME15" t="str">
        <f t="shared" si="55"/>
        <v/>
      </c>
      <c r="MF15" t="str">
        <f t="shared" si="56"/>
        <v/>
      </c>
      <c r="MG15" t="str">
        <f t="shared" si="57"/>
        <v/>
      </c>
      <c r="MH15" t="str">
        <f t="shared" si="58"/>
        <v/>
      </c>
      <c r="MI15" t="str">
        <f t="shared" si="59"/>
        <v/>
      </c>
      <c r="MJ15" t="str">
        <f t="shared" si="60"/>
        <v/>
      </c>
      <c r="MK15" t="str">
        <f t="shared" si="61"/>
        <v/>
      </c>
      <c r="ML15" t="str">
        <f t="shared" si="62"/>
        <v/>
      </c>
      <c r="MM15" t="str">
        <f t="shared" si="63"/>
        <v/>
      </c>
      <c r="MN15" t="str">
        <f t="shared" si="64"/>
        <v/>
      </c>
      <c r="MO15" t="str">
        <f t="shared" si="65"/>
        <v/>
      </c>
      <c r="MP15" t="str">
        <f t="shared" si="66"/>
        <v/>
      </c>
      <c r="MQ15" t="str">
        <f t="shared" si="67"/>
        <v/>
      </c>
      <c r="MR15" t="str">
        <f t="shared" si="68"/>
        <v/>
      </c>
      <c r="MS15" t="str">
        <f t="shared" si="69"/>
        <v/>
      </c>
      <c r="MT15" t="str">
        <f t="shared" si="70"/>
        <v/>
      </c>
      <c r="MU15" t="str">
        <f t="shared" si="71"/>
        <v/>
      </c>
      <c r="MV15" t="str">
        <f t="shared" si="72"/>
        <v/>
      </c>
      <c r="MW15" t="str">
        <f t="shared" si="73"/>
        <v/>
      </c>
      <c r="MX15" t="str">
        <f t="shared" si="74"/>
        <v/>
      </c>
      <c r="MY15" t="str">
        <f t="shared" si="75"/>
        <v/>
      </c>
      <c r="MZ15" t="str">
        <f t="shared" si="76"/>
        <v/>
      </c>
      <c r="NA15" t="str">
        <f t="shared" si="77"/>
        <v/>
      </c>
      <c r="NB15" t="str">
        <f t="shared" si="78"/>
        <v/>
      </c>
      <c r="NC15" t="str">
        <f t="shared" si="79"/>
        <v/>
      </c>
      <c r="ND15" t="str">
        <f t="shared" si="80"/>
        <v/>
      </c>
      <c r="NE15" t="str">
        <f t="shared" si="81"/>
        <v/>
      </c>
      <c r="NF15" t="str">
        <f t="shared" si="82"/>
        <v/>
      </c>
      <c r="NG15" t="str">
        <f t="shared" si="83"/>
        <v/>
      </c>
      <c r="NH15" t="str">
        <f t="shared" si="84"/>
        <v/>
      </c>
      <c r="NI15" t="str">
        <f t="shared" si="85"/>
        <v/>
      </c>
      <c r="NJ15" t="str">
        <f t="shared" si="86"/>
        <v/>
      </c>
      <c r="NK15" t="str">
        <f t="shared" si="87"/>
        <v/>
      </c>
      <c r="NL15" t="str">
        <f t="shared" si="88"/>
        <v/>
      </c>
      <c r="NM15" t="str">
        <f t="shared" si="89"/>
        <v/>
      </c>
      <c r="NN15" t="str">
        <f t="shared" si="90"/>
        <v/>
      </c>
      <c r="NO15" t="str">
        <f t="shared" si="91"/>
        <v/>
      </c>
      <c r="NP15" t="str">
        <f t="shared" si="92"/>
        <v/>
      </c>
      <c r="NQ15" t="str">
        <f t="shared" si="93"/>
        <v/>
      </c>
      <c r="NR15" t="str">
        <f t="shared" si="94"/>
        <v/>
      </c>
      <c r="NS15" t="str">
        <f t="shared" si="95"/>
        <v/>
      </c>
      <c r="NT15" t="str">
        <f t="shared" si="96"/>
        <v/>
      </c>
      <c r="NU15" t="str">
        <f t="shared" si="97"/>
        <v/>
      </c>
      <c r="NV15" t="str">
        <f t="shared" si="98"/>
        <v/>
      </c>
      <c r="NW15" t="str">
        <f t="shared" si="99"/>
        <v/>
      </c>
      <c r="NX15" t="str">
        <f t="shared" si="100"/>
        <v/>
      </c>
      <c r="NY15" t="str">
        <f t="shared" si="101"/>
        <v/>
      </c>
      <c r="NZ15" t="str">
        <f t="shared" si="102"/>
        <v/>
      </c>
      <c r="OA15" t="str">
        <f t="shared" si="103"/>
        <v/>
      </c>
      <c r="OB15" t="str">
        <f t="shared" si="104"/>
        <v/>
      </c>
      <c r="OC15" t="str">
        <f t="shared" si="105"/>
        <v/>
      </c>
      <c r="OD15" t="str">
        <f t="shared" si="106"/>
        <v/>
      </c>
      <c r="OE15" t="str">
        <f t="shared" si="107"/>
        <v/>
      </c>
      <c r="OF15" t="str">
        <f t="shared" si="108"/>
        <v/>
      </c>
      <c r="OG15" t="str">
        <f t="shared" si="109"/>
        <v/>
      </c>
      <c r="OH15" t="str">
        <f t="shared" si="110"/>
        <v/>
      </c>
      <c r="OI15" t="str">
        <f t="shared" si="111"/>
        <v/>
      </c>
      <c r="OJ15" t="str">
        <f t="shared" si="112"/>
        <v/>
      </c>
      <c r="OK15" t="str">
        <f t="shared" si="113"/>
        <v/>
      </c>
      <c r="OL15" t="str">
        <f t="shared" si="114"/>
        <v/>
      </c>
      <c r="OM15" t="str">
        <f t="shared" si="115"/>
        <v/>
      </c>
      <c r="ON15" t="str">
        <f t="shared" si="116"/>
        <v/>
      </c>
      <c r="OO15" t="str">
        <f t="shared" si="117"/>
        <v/>
      </c>
      <c r="OP15" t="str">
        <f t="shared" si="118"/>
        <v/>
      </c>
      <c r="OQ15" t="str">
        <f t="shared" si="119"/>
        <v/>
      </c>
      <c r="OR15" t="str">
        <f t="shared" si="120"/>
        <v/>
      </c>
      <c r="OS15" t="str">
        <f t="shared" si="121"/>
        <v/>
      </c>
      <c r="OT15" t="str">
        <f t="shared" si="122"/>
        <v/>
      </c>
      <c r="OU15" t="str">
        <f t="shared" si="123"/>
        <v/>
      </c>
      <c r="OV15" t="str">
        <f t="shared" si="124"/>
        <v/>
      </c>
      <c r="OW15" t="str">
        <f t="shared" si="125"/>
        <v/>
      </c>
      <c r="OX15" t="str">
        <f t="shared" si="126"/>
        <v/>
      </c>
      <c r="OY15" t="str">
        <f t="shared" si="127"/>
        <v/>
      </c>
      <c r="OZ15" t="str">
        <f t="shared" si="128"/>
        <v/>
      </c>
      <c r="PA15" t="str">
        <f t="shared" si="129"/>
        <v/>
      </c>
      <c r="PB15" t="str">
        <f t="shared" si="130"/>
        <v/>
      </c>
      <c r="PC15" t="str">
        <f t="shared" si="131"/>
        <v/>
      </c>
      <c r="PD15" t="str">
        <f t="shared" si="132"/>
        <v/>
      </c>
      <c r="PE15" t="str">
        <f t="shared" si="133"/>
        <v/>
      </c>
      <c r="PF15" t="str">
        <f t="shared" si="134"/>
        <v/>
      </c>
      <c r="PG15" t="str">
        <f t="shared" si="135"/>
        <v/>
      </c>
      <c r="PH15" t="str">
        <f t="shared" si="136"/>
        <v/>
      </c>
      <c r="PI15" t="str">
        <f t="shared" si="137"/>
        <v/>
      </c>
      <c r="PJ15" t="str">
        <f t="shared" si="138"/>
        <v/>
      </c>
      <c r="PK15" t="str">
        <f t="shared" si="139"/>
        <v/>
      </c>
      <c r="PL15" t="str">
        <f t="shared" si="140"/>
        <v/>
      </c>
      <c r="PM15" t="str">
        <f t="shared" si="141"/>
        <v/>
      </c>
      <c r="PN15" t="str">
        <f t="shared" si="142"/>
        <v/>
      </c>
      <c r="PO15" t="str">
        <f t="shared" si="143"/>
        <v/>
      </c>
      <c r="PP15" t="str">
        <f t="shared" si="144"/>
        <v/>
      </c>
      <c r="PQ15" t="str">
        <f t="shared" si="145"/>
        <v/>
      </c>
      <c r="PR15" t="str">
        <f t="shared" si="146"/>
        <v/>
      </c>
      <c r="PS15" t="str">
        <f t="shared" si="147"/>
        <v/>
      </c>
      <c r="PT15" t="str">
        <f t="shared" si="148"/>
        <v/>
      </c>
      <c r="PU15" t="str">
        <f t="shared" si="149"/>
        <v/>
      </c>
      <c r="PV15" t="str">
        <f t="shared" si="150"/>
        <v/>
      </c>
      <c r="PW15" t="str">
        <f t="shared" si="151"/>
        <v/>
      </c>
      <c r="PX15" t="str">
        <f t="shared" si="152"/>
        <v/>
      </c>
      <c r="PY15" t="str">
        <f t="shared" si="153"/>
        <v/>
      </c>
      <c r="PZ15" t="str">
        <f t="shared" si="154"/>
        <v/>
      </c>
      <c r="QA15" t="str">
        <f t="shared" si="155"/>
        <v/>
      </c>
      <c r="QB15" t="str">
        <f t="shared" si="156"/>
        <v/>
      </c>
      <c r="QC15" t="str">
        <f t="shared" si="157"/>
        <v/>
      </c>
      <c r="QD15" t="str">
        <f t="shared" si="158"/>
        <v/>
      </c>
      <c r="QE15" t="str">
        <f t="shared" si="159"/>
        <v/>
      </c>
      <c r="QF15" t="str">
        <f t="shared" si="160"/>
        <v/>
      </c>
      <c r="QG15" t="str">
        <f t="shared" si="161"/>
        <v/>
      </c>
      <c r="QH15" t="str">
        <f t="shared" si="162"/>
        <v/>
      </c>
      <c r="QI15" t="str">
        <f t="shared" si="163"/>
        <v/>
      </c>
      <c r="QJ15" t="str">
        <f t="shared" si="164"/>
        <v/>
      </c>
      <c r="QK15" t="str">
        <f t="shared" si="165"/>
        <v/>
      </c>
      <c r="QL15" t="str">
        <f t="shared" si="166"/>
        <v/>
      </c>
      <c r="QM15" t="str">
        <f t="shared" si="167"/>
        <v/>
      </c>
      <c r="QN15" t="str">
        <f t="shared" si="168"/>
        <v/>
      </c>
      <c r="QO15" t="str">
        <f t="shared" si="169"/>
        <v/>
      </c>
      <c r="QP15" t="str">
        <f t="shared" si="170"/>
        <v/>
      </c>
      <c r="QQ15" t="str">
        <f t="shared" si="171"/>
        <v/>
      </c>
      <c r="QR15" t="str">
        <f t="shared" si="172"/>
        <v/>
      </c>
      <c r="QS15" t="str">
        <f t="shared" si="173"/>
        <v/>
      </c>
      <c r="QT15" t="str">
        <f t="shared" si="174"/>
        <v/>
      </c>
      <c r="QU15" t="str">
        <f t="shared" si="175"/>
        <v/>
      </c>
      <c r="QV15" t="str">
        <f t="shared" si="176"/>
        <v/>
      </c>
      <c r="QW15" t="str">
        <f t="shared" si="177"/>
        <v/>
      </c>
      <c r="QX15" t="str">
        <f t="shared" si="178"/>
        <v/>
      </c>
      <c r="QY15" t="str">
        <f t="shared" si="179"/>
        <v/>
      </c>
      <c r="QZ15" t="str">
        <f t="shared" si="180"/>
        <v/>
      </c>
      <c r="RA15" t="str">
        <f t="shared" si="181"/>
        <v/>
      </c>
      <c r="RB15" t="str">
        <f t="shared" si="182"/>
        <v/>
      </c>
      <c r="RC15" t="str">
        <f t="shared" si="183"/>
        <v/>
      </c>
      <c r="RD15" t="str">
        <f t="shared" si="184"/>
        <v/>
      </c>
      <c r="RE15" t="str">
        <f t="shared" si="185"/>
        <v/>
      </c>
      <c r="RF15" t="str">
        <f t="shared" si="186"/>
        <v/>
      </c>
      <c r="RG15" t="str">
        <f t="shared" si="187"/>
        <v/>
      </c>
      <c r="RH15" t="str">
        <f t="shared" si="188"/>
        <v/>
      </c>
      <c r="RI15" t="str">
        <f t="shared" si="189"/>
        <v/>
      </c>
      <c r="RJ15" t="str">
        <f t="shared" si="190"/>
        <v/>
      </c>
      <c r="RK15" t="str">
        <f t="shared" si="191"/>
        <v/>
      </c>
      <c r="RL15" t="str">
        <f t="shared" si="192"/>
        <v/>
      </c>
      <c r="RM15" t="str">
        <f t="shared" si="193"/>
        <v/>
      </c>
      <c r="RN15" t="str">
        <f t="shared" si="194"/>
        <v/>
      </c>
      <c r="RO15" t="str">
        <f t="shared" si="195"/>
        <v/>
      </c>
      <c r="RP15" t="str">
        <f t="shared" si="196"/>
        <v/>
      </c>
      <c r="RQ15" t="str">
        <f t="shared" si="197"/>
        <v/>
      </c>
      <c r="RR15" t="str">
        <f t="shared" si="198"/>
        <v/>
      </c>
      <c r="RS15" t="str">
        <f t="shared" si="199"/>
        <v/>
      </c>
      <c r="RT15" t="str">
        <f t="shared" si="200"/>
        <v/>
      </c>
      <c r="RU15" t="str">
        <f t="shared" si="201"/>
        <v/>
      </c>
      <c r="RV15" t="str">
        <f t="shared" si="202"/>
        <v/>
      </c>
      <c r="RW15" t="str">
        <f t="shared" si="203"/>
        <v/>
      </c>
      <c r="RX15" t="str">
        <f t="shared" si="204"/>
        <v/>
      </c>
      <c r="RY15" t="str">
        <f t="shared" si="205"/>
        <v/>
      </c>
      <c r="RZ15" t="str">
        <f t="shared" si="206"/>
        <v/>
      </c>
      <c r="SA15" t="str">
        <f t="shared" si="207"/>
        <v/>
      </c>
      <c r="SB15" t="str">
        <f t="shared" si="208"/>
        <v/>
      </c>
      <c r="SC15" t="str">
        <f t="shared" si="209"/>
        <v/>
      </c>
      <c r="SD15" t="str">
        <f t="shared" si="210"/>
        <v/>
      </c>
      <c r="SE15" t="str">
        <f t="shared" si="211"/>
        <v/>
      </c>
      <c r="SF15" t="str">
        <f t="shared" si="212"/>
        <v/>
      </c>
      <c r="SG15" t="str">
        <f t="shared" si="213"/>
        <v/>
      </c>
      <c r="SH15" t="str">
        <f t="shared" si="214"/>
        <v/>
      </c>
      <c r="SI15" t="str">
        <f t="shared" si="215"/>
        <v/>
      </c>
      <c r="SJ15" t="str">
        <f t="shared" si="216"/>
        <v/>
      </c>
      <c r="SK15" t="str">
        <f t="shared" si="217"/>
        <v/>
      </c>
      <c r="SL15" t="str">
        <f t="shared" si="218"/>
        <v/>
      </c>
      <c r="SM15" t="str">
        <f t="shared" si="219"/>
        <v/>
      </c>
      <c r="SN15" t="str">
        <f t="shared" si="220"/>
        <v/>
      </c>
      <c r="SO15" t="str">
        <f t="shared" si="221"/>
        <v/>
      </c>
      <c r="SP15" t="str">
        <f t="shared" si="222"/>
        <v/>
      </c>
    </row>
    <row r="16" spans="2:510" x14ac:dyDescent="0.3">
      <c r="B16" t="s">
        <v>26</v>
      </c>
      <c r="C16" cm="1" vm="13">
        <f t="array" aca="1" ref="C16" ca="1">INDEX(_xlfn.ANCHORARRAY(G16),D16)</f>
        <v>90.99</v>
      </c>
      <c r="D16">
        <f t="shared" ca="1" si="223"/>
        <v>19</v>
      </c>
      <c r="F16" t="s">
        <v>27</v>
      </c>
      <c r="G16" cm="1" vm="33">
        <f t="array" aca="1" ref="G16:Y16" ca="1">TRANSPOSE(_xlfn.STOCKHISTORY(F16,$H$4,G$4,0,0,1))</f>
        <v>100.24</v>
      </c>
      <c r="H16" vm="54">
        <f ca="1"/>
        <v>96.79</v>
      </c>
      <c r="I16" vm="75">
        <f ca="1"/>
        <v>96.71</v>
      </c>
      <c r="J16" vm="95">
        <f ca="1"/>
        <v>92.71</v>
      </c>
      <c r="K16" vm="116">
        <f ca="1"/>
        <v>94.09</v>
      </c>
      <c r="L16" vm="137">
        <f ca="1"/>
        <v>95.19</v>
      </c>
      <c r="M16" vm="158">
        <f ca="1"/>
        <v>93.77</v>
      </c>
      <c r="N16" vm="179">
        <f ca="1"/>
        <v>94.57</v>
      </c>
      <c r="O16" vm="200">
        <f ca="1"/>
        <v>94.79</v>
      </c>
      <c r="P16" vm="221">
        <f ca="1"/>
        <v>94</v>
      </c>
      <c r="Q16" vm="242">
        <f ca="1"/>
        <v>94.39</v>
      </c>
      <c r="R16" vm="263">
        <f ca="1"/>
        <v>93.23</v>
      </c>
      <c r="S16" vm="284">
        <f ca="1"/>
        <v>93.5</v>
      </c>
      <c r="T16" vm="305">
        <f ca="1"/>
        <v>93.64</v>
      </c>
      <c r="U16" vm="325">
        <f ca="1"/>
        <v>94.47</v>
      </c>
      <c r="V16" vm="346">
        <f ca="1"/>
        <v>94.15</v>
      </c>
      <c r="W16" vm="366">
        <f ca="1"/>
        <v>93.78</v>
      </c>
      <c r="X16" vm="387">
        <f ca="1"/>
        <v>93.76</v>
      </c>
      <c r="Y16" vm="13">
        <f ca="1"/>
        <v>90.99</v>
      </c>
      <c r="KB16" t="str">
        <f t="shared" si="0"/>
        <v/>
      </c>
      <c r="KC16" t="str">
        <f t="shared" si="1"/>
        <v/>
      </c>
      <c r="KD16" t="str">
        <f t="shared" si="2"/>
        <v/>
      </c>
      <c r="KE16" t="str">
        <f t="shared" si="3"/>
        <v/>
      </c>
      <c r="KF16" t="str">
        <f t="shared" si="4"/>
        <v/>
      </c>
      <c r="KG16" t="str">
        <f t="shared" si="5"/>
        <v/>
      </c>
      <c r="KH16" t="str">
        <f t="shared" si="6"/>
        <v/>
      </c>
      <c r="KI16" t="str">
        <f t="shared" si="7"/>
        <v/>
      </c>
      <c r="KJ16" t="str">
        <f t="shared" si="8"/>
        <v/>
      </c>
      <c r="KK16" t="str">
        <f t="shared" si="9"/>
        <v/>
      </c>
      <c r="KL16" t="str">
        <f t="shared" si="10"/>
        <v/>
      </c>
      <c r="KM16" t="str">
        <f t="shared" si="11"/>
        <v/>
      </c>
      <c r="KN16" t="str">
        <f t="shared" si="12"/>
        <v/>
      </c>
      <c r="KO16" t="str">
        <f t="shared" si="13"/>
        <v/>
      </c>
      <c r="KP16" t="str">
        <f t="shared" si="14"/>
        <v/>
      </c>
      <c r="KQ16" t="str">
        <f t="shared" si="15"/>
        <v/>
      </c>
      <c r="KR16" t="str">
        <f t="shared" si="16"/>
        <v/>
      </c>
      <c r="KS16" t="str">
        <f t="shared" si="17"/>
        <v/>
      </c>
      <c r="KT16" t="str">
        <f t="shared" si="18"/>
        <v/>
      </c>
      <c r="KU16" t="str">
        <f t="shared" si="19"/>
        <v/>
      </c>
      <c r="KV16" t="str">
        <f t="shared" si="20"/>
        <v/>
      </c>
      <c r="KW16" t="str">
        <f t="shared" si="21"/>
        <v/>
      </c>
      <c r="KX16" t="str">
        <f t="shared" si="22"/>
        <v/>
      </c>
      <c r="KY16" t="str">
        <f t="shared" si="23"/>
        <v/>
      </c>
      <c r="KZ16" t="str">
        <f t="shared" si="24"/>
        <v/>
      </c>
      <c r="LA16" t="str">
        <f t="shared" si="25"/>
        <v/>
      </c>
      <c r="LB16" t="str">
        <f t="shared" si="26"/>
        <v/>
      </c>
      <c r="LC16" t="str">
        <f t="shared" si="27"/>
        <v/>
      </c>
      <c r="LD16" t="str">
        <f t="shared" si="28"/>
        <v/>
      </c>
      <c r="LE16" t="str">
        <f t="shared" si="29"/>
        <v/>
      </c>
      <c r="LF16" t="str">
        <f t="shared" si="30"/>
        <v/>
      </c>
      <c r="LG16" t="str">
        <f t="shared" si="31"/>
        <v/>
      </c>
      <c r="LH16" t="str">
        <f t="shared" si="32"/>
        <v/>
      </c>
      <c r="LI16" t="str">
        <f t="shared" si="33"/>
        <v/>
      </c>
      <c r="LJ16" t="str">
        <f t="shared" si="34"/>
        <v/>
      </c>
      <c r="LK16" t="str">
        <f t="shared" si="35"/>
        <v/>
      </c>
      <c r="LL16" t="str">
        <f t="shared" si="36"/>
        <v/>
      </c>
      <c r="LM16" t="str">
        <f t="shared" si="37"/>
        <v/>
      </c>
      <c r="LN16" t="str">
        <f t="shared" si="38"/>
        <v/>
      </c>
      <c r="LO16" t="str">
        <f t="shared" si="39"/>
        <v/>
      </c>
      <c r="LP16" t="str">
        <f t="shared" si="40"/>
        <v/>
      </c>
      <c r="LQ16" t="str">
        <f t="shared" si="41"/>
        <v/>
      </c>
      <c r="LR16" t="str">
        <f t="shared" si="42"/>
        <v/>
      </c>
      <c r="LS16" t="str">
        <f t="shared" si="43"/>
        <v/>
      </c>
      <c r="LT16" t="str">
        <f t="shared" si="44"/>
        <v/>
      </c>
      <c r="LU16" t="str">
        <f t="shared" si="45"/>
        <v/>
      </c>
      <c r="LV16" t="str">
        <f t="shared" si="46"/>
        <v/>
      </c>
      <c r="LW16" t="str">
        <f t="shared" si="47"/>
        <v/>
      </c>
      <c r="LX16" t="str">
        <f t="shared" si="48"/>
        <v/>
      </c>
      <c r="LY16" t="str">
        <f t="shared" si="49"/>
        <v/>
      </c>
      <c r="LZ16" t="str">
        <f t="shared" si="50"/>
        <v/>
      </c>
      <c r="MA16" t="str">
        <f t="shared" si="51"/>
        <v/>
      </c>
      <c r="MB16" t="str">
        <f t="shared" si="52"/>
        <v/>
      </c>
      <c r="MC16" t="str">
        <f t="shared" si="53"/>
        <v/>
      </c>
      <c r="MD16" t="str">
        <f t="shared" si="54"/>
        <v/>
      </c>
      <c r="ME16" t="str">
        <f t="shared" si="55"/>
        <v/>
      </c>
      <c r="MF16" t="str">
        <f t="shared" si="56"/>
        <v/>
      </c>
      <c r="MG16" t="str">
        <f t="shared" si="57"/>
        <v/>
      </c>
      <c r="MH16" t="str">
        <f t="shared" si="58"/>
        <v/>
      </c>
      <c r="MI16" t="str">
        <f t="shared" si="59"/>
        <v/>
      </c>
      <c r="MJ16" t="str">
        <f t="shared" si="60"/>
        <v/>
      </c>
      <c r="MK16" t="str">
        <f t="shared" si="61"/>
        <v/>
      </c>
      <c r="ML16" t="str">
        <f t="shared" si="62"/>
        <v/>
      </c>
      <c r="MM16" t="str">
        <f t="shared" si="63"/>
        <v/>
      </c>
      <c r="MN16" t="str">
        <f t="shared" si="64"/>
        <v/>
      </c>
      <c r="MO16" t="str">
        <f t="shared" si="65"/>
        <v/>
      </c>
      <c r="MP16" t="str">
        <f t="shared" si="66"/>
        <v/>
      </c>
      <c r="MQ16" t="str">
        <f t="shared" si="67"/>
        <v/>
      </c>
      <c r="MR16" t="str">
        <f t="shared" si="68"/>
        <v/>
      </c>
      <c r="MS16" t="str">
        <f t="shared" si="69"/>
        <v/>
      </c>
      <c r="MT16" t="str">
        <f t="shared" si="70"/>
        <v/>
      </c>
      <c r="MU16" t="str">
        <f t="shared" si="71"/>
        <v/>
      </c>
      <c r="MV16" t="str">
        <f t="shared" si="72"/>
        <v/>
      </c>
      <c r="MW16" t="str">
        <f t="shared" si="73"/>
        <v/>
      </c>
      <c r="MX16" t="str">
        <f t="shared" si="74"/>
        <v/>
      </c>
      <c r="MY16" t="str">
        <f t="shared" si="75"/>
        <v/>
      </c>
      <c r="MZ16" t="str">
        <f t="shared" si="76"/>
        <v/>
      </c>
      <c r="NA16" t="str">
        <f t="shared" si="77"/>
        <v/>
      </c>
      <c r="NB16" t="str">
        <f t="shared" si="78"/>
        <v/>
      </c>
      <c r="NC16" t="str">
        <f t="shared" si="79"/>
        <v/>
      </c>
      <c r="ND16" t="str">
        <f t="shared" si="80"/>
        <v/>
      </c>
      <c r="NE16" t="str">
        <f t="shared" si="81"/>
        <v/>
      </c>
      <c r="NF16" t="str">
        <f t="shared" si="82"/>
        <v/>
      </c>
      <c r="NG16" t="str">
        <f t="shared" si="83"/>
        <v/>
      </c>
      <c r="NH16" t="str">
        <f t="shared" si="84"/>
        <v/>
      </c>
      <c r="NI16" t="str">
        <f t="shared" si="85"/>
        <v/>
      </c>
      <c r="NJ16" t="str">
        <f t="shared" si="86"/>
        <v/>
      </c>
      <c r="NK16" t="str">
        <f t="shared" si="87"/>
        <v/>
      </c>
      <c r="NL16" t="str">
        <f t="shared" si="88"/>
        <v/>
      </c>
      <c r="NM16" t="str">
        <f t="shared" si="89"/>
        <v/>
      </c>
      <c r="NN16" t="str">
        <f t="shared" si="90"/>
        <v/>
      </c>
      <c r="NO16" t="str">
        <f t="shared" si="91"/>
        <v/>
      </c>
      <c r="NP16" t="str">
        <f t="shared" si="92"/>
        <v/>
      </c>
      <c r="NQ16" t="str">
        <f t="shared" si="93"/>
        <v/>
      </c>
      <c r="NR16" t="str">
        <f t="shared" si="94"/>
        <v/>
      </c>
      <c r="NS16" t="str">
        <f t="shared" si="95"/>
        <v/>
      </c>
      <c r="NT16" t="str">
        <f t="shared" si="96"/>
        <v/>
      </c>
      <c r="NU16" t="str">
        <f t="shared" si="97"/>
        <v/>
      </c>
      <c r="NV16" t="str">
        <f t="shared" si="98"/>
        <v/>
      </c>
      <c r="NW16" t="str">
        <f t="shared" si="99"/>
        <v/>
      </c>
      <c r="NX16" t="str">
        <f t="shared" si="100"/>
        <v/>
      </c>
      <c r="NY16" t="str">
        <f t="shared" si="101"/>
        <v/>
      </c>
      <c r="NZ16" t="str">
        <f t="shared" si="102"/>
        <v/>
      </c>
      <c r="OA16" t="str">
        <f t="shared" si="103"/>
        <v/>
      </c>
      <c r="OB16" t="str">
        <f t="shared" si="104"/>
        <v/>
      </c>
      <c r="OC16" t="str">
        <f t="shared" si="105"/>
        <v/>
      </c>
      <c r="OD16" t="str">
        <f t="shared" si="106"/>
        <v/>
      </c>
      <c r="OE16" t="str">
        <f t="shared" si="107"/>
        <v/>
      </c>
      <c r="OF16" t="str">
        <f t="shared" si="108"/>
        <v/>
      </c>
      <c r="OG16" t="str">
        <f t="shared" si="109"/>
        <v/>
      </c>
      <c r="OH16" t="str">
        <f t="shared" si="110"/>
        <v/>
      </c>
      <c r="OI16" t="str">
        <f t="shared" si="111"/>
        <v/>
      </c>
      <c r="OJ16" t="str">
        <f t="shared" si="112"/>
        <v/>
      </c>
      <c r="OK16" t="str">
        <f t="shared" si="113"/>
        <v/>
      </c>
      <c r="OL16" t="str">
        <f t="shared" si="114"/>
        <v/>
      </c>
      <c r="OM16" t="str">
        <f t="shared" si="115"/>
        <v/>
      </c>
      <c r="ON16" t="str">
        <f t="shared" si="116"/>
        <v/>
      </c>
      <c r="OO16" t="str">
        <f t="shared" si="117"/>
        <v/>
      </c>
      <c r="OP16" t="str">
        <f t="shared" si="118"/>
        <v/>
      </c>
      <c r="OQ16" t="str">
        <f t="shared" si="119"/>
        <v/>
      </c>
      <c r="OR16" t="str">
        <f t="shared" si="120"/>
        <v/>
      </c>
      <c r="OS16" t="str">
        <f t="shared" si="121"/>
        <v/>
      </c>
      <c r="OT16" t="str">
        <f t="shared" si="122"/>
        <v/>
      </c>
      <c r="OU16" t="str">
        <f t="shared" si="123"/>
        <v/>
      </c>
      <c r="OV16" t="str">
        <f t="shared" si="124"/>
        <v/>
      </c>
      <c r="OW16" t="str">
        <f t="shared" si="125"/>
        <v/>
      </c>
      <c r="OX16" t="str">
        <f t="shared" si="126"/>
        <v/>
      </c>
      <c r="OY16" t="str">
        <f t="shared" si="127"/>
        <v/>
      </c>
      <c r="OZ16" t="str">
        <f t="shared" si="128"/>
        <v/>
      </c>
      <c r="PA16" t="str">
        <f t="shared" si="129"/>
        <v/>
      </c>
      <c r="PB16" t="str">
        <f t="shared" si="130"/>
        <v/>
      </c>
      <c r="PC16" t="str">
        <f t="shared" si="131"/>
        <v/>
      </c>
      <c r="PD16" t="str">
        <f t="shared" si="132"/>
        <v/>
      </c>
      <c r="PE16" t="str">
        <f t="shared" si="133"/>
        <v/>
      </c>
      <c r="PF16" t="str">
        <f t="shared" si="134"/>
        <v/>
      </c>
      <c r="PG16" t="str">
        <f t="shared" si="135"/>
        <v/>
      </c>
      <c r="PH16" t="str">
        <f t="shared" si="136"/>
        <v/>
      </c>
      <c r="PI16" t="str">
        <f t="shared" si="137"/>
        <v/>
      </c>
      <c r="PJ16" t="str">
        <f t="shared" si="138"/>
        <v/>
      </c>
      <c r="PK16" t="str">
        <f t="shared" si="139"/>
        <v/>
      </c>
      <c r="PL16" t="str">
        <f t="shared" si="140"/>
        <v/>
      </c>
      <c r="PM16" t="str">
        <f t="shared" si="141"/>
        <v/>
      </c>
      <c r="PN16" t="str">
        <f t="shared" si="142"/>
        <v/>
      </c>
      <c r="PO16" t="str">
        <f t="shared" si="143"/>
        <v/>
      </c>
      <c r="PP16" t="str">
        <f t="shared" si="144"/>
        <v/>
      </c>
      <c r="PQ16" t="str">
        <f t="shared" si="145"/>
        <v/>
      </c>
      <c r="PR16" t="str">
        <f t="shared" si="146"/>
        <v/>
      </c>
      <c r="PS16" t="str">
        <f t="shared" si="147"/>
        <v/>
      </c>
      <c r="PT16" t="str">
        <f t="shared" si="148"/>
        <v/>
      </c>
      <c r="PU16" t="str">
        <f t="shared" si="149"/>
        <v/>
      </c>
      <c r="PV16" t="str">
        <f t="shared" si="150"/>
        <v/>
      </c>
      <c r="PW16" t="str">
        <f t="shared" si="151"/>
        <v/>
      </c>
      <c r="PX16" t="str">
        <f t="shared" si="152"/>
        <v/>
      </c>
      <c r="PY16" t="str">
        <f t="shared" si="153"/>
        <v/>
      </c>
      <c r="PZ16" t="str">
        <f t="shared" si="154"/>
        <v/>
      </c>
      <c r="QA16" t="str">
        <f t="shared" si="155"/>
        <v/>
      </c>
      <c r="QB16" t="str">
        <f t="shared" si="156"/>
        <v/>
      </c>
      <c r="QC16" t="str">
        <f t="shared" si="157"/>
        <v/>
      </c>
      <c r="QD16" t="str">
        <f t="shared" si="158"/>
        <v/>
      </c>
      <c r="QE16" t="str">
        <f t="shared" si="159"/>
        <v/>
      </c>
      <c r="QF16" t="str">
        <f t="shared" si="160"/>
        <v/>
      </c>
      <c r="QG16" t="str">
        <f t="shared" si="161"/>
        <v/>
      </c>
      <c r="QH16" t="str">
        <f t="shared" si="162"/>
        <v/>
      </c>
      <c r="QI16" t="str">
        <f t="shared" si="163"/>
        <v/>
      </c>
      <c r="QJ16" t="str">
        <f t="shared" si="164"/>
        <v/>
      </c>
      <c r="QK16" t="str">
        <f t="shared" si="165"/>
        <v/>
      </c>
      <c r="QL16" t="str">
        <f t="shared" si="166"/>
        <v/>
      </c>
      <c r="QM16" t="str">
        <f t="shared" si="167"/>
        <v/>
      </c>
      <c r="QN16" t="str">
        <f t="shared" si="168"/>
        <v/>
      </c>
      <c r="QO16" t="str">
        <f t="shared" si="169"/>
        <v/>
      </c>
      <c r="QP16" t="str">
        <f t="shared" si="170"/>
        <v/>
      </c>
      <c r="QQ16" t="str">
        <f t="shared" si="171"/>
        <v/>
      </c>
      <c r="QR16" t="str">
        <f t="shared" si="172"/>
        <v/>
      </c>
      <c r="QS16" t="str">
        <f t="shared" si="173"/>
        <v/>
      </c>
      <c r="QT16" t="str">
        <f t="shared" si="174"/>
        <v/>
      </c>
      <c r="QU16" t="str">
        <f t="shared" si="175"/>
        <v/>
      </c>
      <c r="QV16" t="str">
        <f t="shared" si="176"/>
        <v/>
      </c>
      <c r="QW16" t="str">
        <f t="shared" si="177"/>
        <v/>
      </c>
      <c r="QX16" t="str">
        <f t="shared" si="178"/>
        <v/>
      </c>
      <c r="QY16" t="str">
        <f t="shared" si="179"/>
        <v/>
      </c>
      <c r="QZ16" t="str">
        <f t="shared" si="180"/>
        <v/>
      </c>
      <c r="RA16" t="str">
        <f t="shared" si="181"/>
        <v/>
      </c>
      <c r="RB16" t="str">
        <f t="shared" si="182"/>
        <v/>
      </c>
      <c r="RC16" t="str">
        <f t="shared" si="183"/>
        <v/>
      </c>
      <c r="RD16" t="str">
        <f t="shared" si="184"/>
        <v/>
      </c>
      <c r="RE16" t="str">
        <f t="shared" si="185"/>
        <v/>
      </c>
      <c r="RF16" t="str">
        <f t="shared" si="186"/>
        <v/>
      </c>
      <c r="RG16" t="str">
        <f t="shared" si="187"/>
        <v/>
      </c>
      <c r="RH16" t="str">
        <f t="shared" si="188"/>
        <v/>
      </c>
      <c r="RI16" t="str">
        <f t="shared" si="189"/>
        <v/>
      </c>
      <c r="RJ16" t="str">
        <f t="shared" si="190"/>
        <v/>
      </c>
      <c r="RK16" t="str">
        <f t="shared" si="191"/>
        <v/>
      </c>
      <c r="RL16" t="str">
        <f t="shared" si="192"/>
        <v/>
      </c>
      <c r="RM16" t="str">
        <f t="shared" si="193"/>
        <v/>
      </c>
      <c r="RN16" t="str">
        <f t="shared" si="194"/>
        <v/>
      </c>
      <c r="RO16" t="str">
        <f t="shared" si="195"/>
        <v/>
      </c>
      <c r="RP16" t="str">
        <f t="shared" si="196"/>
        <v/>
      </c>
      <c r="RQ16" t="str">
        <f t="shared" si="197"/>
        <v/>
      </c>
      <c r="RR16" t="str">
        <f t="shared" si="198"/>
        <v/>
      </c>
      <c r="RS16" t="str">
        <f t="shared" si="199"/>
        <v/>
      </c>
      <c r="RT16" t="str">
        <f t="shared" si="200"/>
        <v/>
      </c>
      <c r="RU16" t="str">
        <f t="shared" si="201"/>
        <v/>
      </c>
      <c r="RV16" t="str">
        <f t="shared" si="202"/>
        <v/>
      </c>
      <c r="RW16" t="str">
        <f t="shared" si="203"/>
        <v/>
      </c>
      <c r="RX16" t="str">
        <f t="shared" si="204"/>
        <v/>
      </c>
      <c r="RY16" t="str">
        <f t="shared" si="205"/>
        <v/>
      </c>
      <c r="RZ16" t="str">
        <f t="shared" si="206"/>
        <v/>
      </c>
      <c r="SA16" t="str">
        <f t="shared" si="207"/>
        <v/>
      </c>
      <c r="SB16" t="str">
        <f t="shared" si="208"/>
        <v/>
      </c>
      <c r="SC16" t="str">
        <f t="shared" si="209"/>
        <v/>
      </c>
      <c r="SD16" t="str">
        <f t="shared" si="210"/>
        <v/>
      </c>
      <c r="SE16" t="str">
        <f t="shared" si="211"/>
        <v/>
      </c>
      <c r="SF16" t="str">
        <f t="shared" si="212"/>
        <v/>
      </c>
      <c r="SG16" t="str">
        <f t="shared" si="213"/>
        <v/>
      </c>
      <c r="SH16" t="str">
        <f t="shared" si="214"/>
        <v/>
      </c>
      <c r="SI16" t="str">
        <f t="shared" si="215"/>
        <v/>
      </c>
      <c r="SJ16" t="str">
        <f t="shared" si="216"/>
        <v/>
      </c>
      <c r="SK16" t="str">
        <f t="shared" si="217"/>
        <v/>
      </c>
      <c r="SL16" t="str">
        <f t="shared" si="218"/>
        <v/>
      </c>
      <c r="SM16" t="str">
        <f t="shared" si="219"/>
        <v/>
      </c>
      <c r="SN16" t="str">
        <f t="shared" si="220"/>
        <v/>
      </c>
      <c r="SO16" t="str">
        <f t="shared" si="221"/>
        <v/>
      </c>
      <c r="SP16" t="str">
        <f t="shared" si="222"/>
        <v/>
      </c>
    </row>
    <row r="17" spans="2:510" x14ac:dyDescent="0.3">
      <c r="B17" t="s">
        <v>28</v>
      </c>
      <c r="C17" cm="1" vm="9">
        <f t="array" aca="1" ref="C17" ca="1">INDEX(_xlfn.ANCHORARRAY(G17),D17)</f>
        <v>854.5</v>
      </c>
      <c r="D17">
        <f t="shared" ca="1" si="223"/>
        <v>19</v>
      </c>
      <c r="F17" t="s">
        <v>29</v>
      </c>
      <c r="G17" cm="1" vm="34">
        <f t="array" aca="1" ref="G17:Y17" ca="1">TRANSPOSE(_xlfn.STOCKHISTORY(F17,$H$4,G$4,0,0,1))</f>
        <v>894.68</v>
      </c>
      <c r="H17" vm="55">
        <f ca="1"/>
        <v>887.52</v>
      </c>
      <c r="I17" vm="76">
        <f ca="1"/>
        <v>888.44</v>
      </c>
      <c r="J17" vm="96">
        <f ca="1"/>
        <v>874.41</v>
      </c>
      <c r="K17" vm="117">
        <f ca="1"/>
        <v>884.48</v>
      </c>
      <c r="L17" vm="138">
        <f ca="1"/>
        <v>884.47</v>
      </c>
      <c r="M17" vm="159">
        <f ca="1"/>
        <v>860.56</v>
      </c>
      <c r="N17" vm="180">
        <f ca="1"/>
        <v>860.39</v>
      </c>
      <c r="O17" vm="201">
        <f ca="1"/>
        <v>862.65</v>
      </c>
      <c r="P17" vm="222">
        <f ca="1"/>
        <v>857.59</v>
      </c>
      <c r="Q17" vm="243">
        <f ca="1"/>
        <v>855.62</v>
      </c>
      <c r="R17" vm="264">
        <f ca="1"/>
        <v>850</v>
      </c>
      <c r="S17" vm="285">
        <f ca="1"/>
        <v>854.79</v>
      </c>
      <c r="T17" vm="306">
        <f ca="1"/>
        <v>871.86</v>
      </c>
      <c r="U17" vm="326">
        <f ca="1"/>
        <v>873.35</v>
      </c>
      <c r="V17" vm="347">
        <f ca="1"/>
        <v>867.84</v>
      </c>
      <c r="W17" vm="367">
        <f ca="1"/>
        <v>865.65</v>
      </c>
      <c r="X17" vm="388">
        <f ca="1"/>
        <v>862.34</v>
      </c>
      <c r="Y17" vm="9">
        <f ca="1"/>
        <v>854.5</v>
      </c>
      <c r="KB17" t="str">
        <f t="shared" si="0"/>
        <v/>
      </c>
      <c r="KC17" t="str">
        <f t="shared" si="1"/>
        <v/>
      </c>
      <c r="KD17" t="str">
        <f t="shared" si="2"/>
        <v/>
      </c>
      <c r="KE17" t="str">
        <f t="shared" si="3"/>
        <v/>
      </c>
      <c r="KF17" t="str">
        <f t="shared" si="4"/>
        <v/>
      </c>
      <c r="KG17" t="str">
        <f t="shared" si="5"/>
        <v/>
      </c>
      <c r="KH17" t="str">
        <f t="shared" si="6"/>
        <v/>
      </c>
      <c r="KI17" t="str">
        <f t="shared" si="7"/>
        <v/>
      </c>
      <c r="KJ17" t="str">
        <f t="shared" si="8"/>
        <v/>
      </c>
      <c r="KK17" t="str">
        <f t="shared" si="9"/>
        <v/>
      </c>
      <c r="KL17" t="str">
        <f t="shared" si="10"/>
        <v/>
      </c>
      <c r="KM17" t="str">
        <f t="shared" si="11"/>
        <v/>
      </c>
      <c r="KN17" t="str">
        <f t="shared" si="12"/>
        <v/>
      </c>
      <c r="KO17" t="str">
        <f t="shared" si="13"/>
        <v/>
      </c>
      <c r="KP17" t="str">
        <f t="shared" si="14"/>
        <v/>
      </c>
      <c r="KQ17" t="str">
        <f t="shared" si="15"/>
        <v/>
      </c>
      <c r="KR17" t="str">
        <f t="shared" si="16"/>
        <v/>
      </c>
      <c r="KS17" t="str">
        <f t="shared" si="17"/>
        <v/>
      </c>
      <c r="KT17" t="str">
        <f t="shared" si="18"/>
        <v/>
      </c>
      <c r="KU17" t="str">
        <f t="shared" si="19"/>
        <v/>
      </c>
      <c r="KV17" t="str">
        <f t="shared" si="20"/>
        <v/>
      </c>
      <c r="KW17" t="str">
        <f t="shared" si="21"/>
        <v/>
      </c>
      <c r="KX17" t="str">
        <f t="shared" si="22"/>
        <v/>
      </c>
      <c r="KY17" t="str">
        <f t="shared" si="23"/>
        <v/>
      </c>
      <c r="KZ17" t="str">
        <f t="shared" si="24"/>
        <v/>
      </c>
      <c r="LA17" t="str">
        <f t="shared" si="25"/>
        <v/>
      </c>
      <c r="LB17" t="str">
        <f t="shared" si="26"/>
        <v/>
      </c>
      <c r="LC17" t="str">
        <f t="shared" si="27"/>
        <v/>
      </c>
      <c r="LD17" t="str">
        <f t="shared" si="28"/>
        <v/>
      </c>
      <c r="LE17" t="str">
        <f t="shared" si="29"/>
        <v/>
      </c>
      <c r="LF17" t="str">
        <f t="shared" si="30"/>
        <v/>
      </c>
      <c r="LG17" t="str">
        <f t="shared" si="31"/>
        <v/>
      </c>
      <c r="LH17" t="str">
        <f t="shared" si="32"/>
        <v/>
      </c>
      <c r="LI17" t="str">
        <f t="shared" si="33"/>
        <v/>
      </c>
      <c r="LJ17" t="str">
        <f t="shared" si="34"/>
        <v/>
      </c>
      <c r="LK17" t="str">
        <f t="shared" si="35"/>
        <v/>
      </c>
      <c r="LL17" t="str">
        <f t="shared" si="36"/>
        <v/>
      </c>
      <c r="LM17" t="str">
        <f t="shared" si="37"/>
        <v/>
      </c>
      <c r="LN17" t="str">
        <f t="shared" si="38"/>
        <v/>
      </c>
      <c r="LO17" t="str">
        <f t="shared" si="39"/>
        <v/>
      </c>
      <c r="LP17" t="str">
        <f t="shared" si="40"/>
        <v/>
      </c>
      <c r="LQ17" t="str">
        <f t="shared" si="41"/>
        <v/>
      </c>
      <c r="LR17" t="str">
        <f t="shared" si="42"/>
        <v/>
      </c>
      <c r="LS17" t="str">
        <f t="shared" si="43"/>
        <v/>
      </c>
      <c r="LT17" t="str">
        <f t="shared" si="44"/>
        <v/>
      </c>
      <c r="LU17" t="str">
        <f t="shared" si="45"/>
        <v/>
      </c>
      <c r="LV17" t="str">
        <f t="shared" si="46"/>
        <v/>
      </c>
      <c r="LW17" t="str">
        <f t="shared" si="47"/>
        <v/>
      </c>
      <c r="LX17" t="str">
        <f t="shared" si="48"/>
        <v/>
      </c>
      <c r="LY17" t="str">
        <f t="shared" si="49"/>
        <v/>
      </c>
      <c r="LZ17" t="str">
        <f t="shared" si="50"/>
        <v/>
      </c>
      <c r="MA17" t="str">
        <f t="shared" si="51"/>
        <v/>
      </c>
      <c r="MB17" t="str">
        <f t="shared" si="52"/>
        <v/>
      </c>
      <c r="MC17" t="str">
        <f t="shared" si="53"/>
        <v/>
      </c>
      <c r="MD17" t="str">
        <f t="shared" si="54"/>
        <v/>
      </c>
      <c r="ME17" t="str">
        <f t="shared" si="55"/>
        <v/>
      </c>
      <c r="MF17" t="str">
        <f t="shared" si="56"/>
        <v/>
      </c>
      <c r="MG17" t="str">
        <f t="shared" si="57"/>
        <v/>
      </c>
      <c r="MH17" t="str">
        <f t="shared" si="58"/>
        <v/>
      </c>
      <c r="MI17" t="str">
        <f t="shared" si="59"/>
        <v/>
      </c>
      <c r="MJ17" t="str">
        <f t="shared" si="60"/>
        <v/>
      </c>
      <c r="MK17" t="str">
        <f t="shared" si="61"/>
        <v/>
      </c>
      <c r="ML17" t="str">
        <f t="shared" si="62"/>
        <v/>
      </c>
      <c r="MM17" t="str">
        <f t="shared" si="63"/>
        <v/>
      </c>
      <c r="MN17" t="str">
        <f t="shared" si="64"/>
        <v/>
      </c>
      <c r="MO17" t="str">
        <f t="shared" si="65"/>
        <v/>
      </c>
      <c r="MP17" t="str">
        <f t="shared" si="66"/>
        <v/>
      </c>
      <c r="MQ17" t="str">
        <f t="shared" si="67"/>
        <v/>
      </c>
      <c r="MR17" t="str">
        <f t="shared" si="68"/>
        <v/>
      </c>
      <c r="MS17" t="str">
        <f t="shared" si="69"/>
        <v/>
      </c>
      <c r="MT17" t="str">
        <f t="shared" si="70"/>
        <v/>
      </c>
      <c r="MU17" t="str">
        <f t="shared" si="71"/>
        <v/>
      </c>
      <c r="MV17" t="str">
        <f t="shared" si="72"/>
        <v/>
      </c>
      <c r="MW17" t="str">
        <f t="shared" si="73"/>
        <v/>
      </c>
      <c r="MX17" t="str">
        <f t="shared" si="74"/>
        <v/>
      </c>
      <c r="MY17" t="str">
        <f t="shared" si="75"/>
        <v/>
      </c>
      <c r="MZ17" t="str">
        <f t="shared" si="76"/>
        <v/>
      </c>
      <c r="NA17" t="str">
        <f t="shared" si="77"/>
        <v/>
      </c>
      <c r="NB17" t="str">
        <f t="shared" si="78"/>
        <v/>
      </c>
      <c r="NC17" t="str">
        <f t="shared" si="79"/>
        <v/>
      </c>
      <c r="ND17" t="str">
        <f t="shared" si="80"/>
        <v/>
      </c>
      <c r="NE17" t="str">
        <f t="shared" si="81"/>
        <v/>
      </c>
      <c r="NF17" t="str">
        <f t="shared" si="82"/>
        <v/>
      </c>
      <c r="NG17" t="str">
        <f t="shared" si="83"/>
        <v/>
      </c>
      <c r="NH17" t="str">
        <f t="shared" si="84"/>
        <v/>
      </c>
      <c r="NI17" t="str">
        <f t="shared" si="85"/>
        <v/>
      </c>
      <c r="NJ17" t="str">
        <f t="shared" si="86"/>
        <v/>
      </c>
      <c r="NK17" t="str">
        <f t="shared" si="87"/>
        <v/>
      </c>
      <c r="NL17" t="str">
        <f t="shared" si="88"/>
        <v/>
      </c>
      <c r="NM17" t="str">
        <f t="shared" si="89"/>
        <v/>
      </c>
      <c r="NN17" t="str">
        <f t="shared" si="90"/>
        <v/>
      </c>
      <c r="NO17" t="str">
        <f t="shared" si="91"/>
        <v/>
      </c>
      <c r="NP17" t="str">
        <f t="shared" si="92"/>
        <v/>
      </c>
      <c r="NQ17" t="str">
        <f t="shared" si="93"/>
        <v/>
      </c>
      <c r="NR17" t="str">
        <f t="shared" si="94"/>
        <v/>
      </c>
      <c r="NS17" t="str">
        <f t="shared" si="95"/>
        <v/>
      </c>
      <c r="NT17" t="str">
        <f t="shared" si="96"/>
        <v/>
      </c>
      <c r="NU17" t="str">
        <f t="shared" si="97"/>
        <v/>
      </c>
      <c r="NV17" t="str">
        <f t="shared" si="98"/>
        <v/>
      </c>
      <c r="NW17" t="str">
        <f t="shared" si="99"/>
        <v/>
      </c>
      <c r="NX17" t="str">
        <f t="shared" si="100"/>
        <v/>
      </c>
      <c r="NY17" t="str">
        <f t="shared" si="101"/>
        <v/>
      </c>
      <c r="NZ17" t="str">
        <f t="shared" si="102"/>
        <v/>
      </c>
      <c r="OA17" t="str">
        <f t="shared" si="103"/>
        <v/>
      </c>
      <c r="OB17" t="str">
        <f t="shared" si="104"/>
        <v/>
      </c>
      <c r="OC17" t="str">
        <f t="shared" si="105"/>
        <v/>
      </c>
      <c r="OD17" t="str">
        <f t="shared" si="106"/>
        <v/>
      </c>
      <c r="OE17" t="str">
        <f t="shared" si="107"/>
        <v/>
      </c>
      <c r="OF17" t="str">
        <f t="shared" si="108"/>
        <v/>
      </c>
      <c r="OG17" t="str">
        <f t="shared" si="109"/>
        <v/>
      </c>
      <c r="OH17" t="str">
        <f t="shared" si="110"/>
        <v/>
      </c>
      <c r="OI17" t="str">
        <f t="shared" si="111"/>
        <v/>
      </c>
      <c r="OJ17" t="str">
        <f t="shared" si="112"/>
        <v/>
      </c>
      <c r="OK17" t="str">
        <f t="shared" si="113"/>
        <v/>
      </c>
      <c r="OL17" t="str">
        <f t="shared" si="114"/>
        <v/>
      </c>
      <c r="OM17" t="str">
        <f t="shared" si="115"/>
        <v/>
      </c>
      <c r="ON17" t="str">
        <f t="shared" si="116"/>
        <v/>
      </c>
      <c r="OO17" t="str">
        <f t="shared" si="117"/>
        <v/>
      </c>
      <c r="OP17" t="str">
        <f t="shared" si="118"/>
        <v/>
      </c>
      <c r="OQ17" t="str">
        <f t="shared" si="119"/>
        <v/>
      </c>
      <c r="OR17" t="str">
        <f t="shared" si="120"/>
        <v/>
      </c>
      <c r="OS17" t="str">
        <f t="shared" si="121"/>
        <v/>
      </c>
      <c r="OT17" t="str">
        <f t="shared" si="122"/>
        <v/>
      </c>
      <c r="OU17" t="str">
        <f t="shared" si="123"/>
        <v/>
      </c>
      <c r="OV17" t="str">
        <f t="shared" si="124"/>
        <v/>
      </c>
      <c r="OW17" t="str">
        <f t="shared" si="125"/>
        <v/>
      </c>
      <c r="OX17" t="str">
        <f t="shared" si="126"/>
        <v/>
      </c>
      <c r="OY17" t="str">
        <f t="shared" si="127"/>
        <v/>
      </c>
      <c r="OZ17" t="str">
        <f t="shared" si="128"/>
        <v/>
      </c>
      <c r="PA17" t="str">
        <f t="shared" si="129"/>
        <v/>
      </c>
      <c r="PB17" t="str">
        <f t="shared" si="130"/>
        <v/>
      </c>
      <c r="PC17" t="str">
        <f t="shared" si="131"/>
        <v/>
      </c>
      <c r="PD17" t="str">
        <f t="shared" si="132"/>
        <v/>
      </c>
      <c r="PE17" t="str">
        <f t="shared" si="133"/>
        <v/>
      </c>
      <c r="PF17" t="str">
        <f t="shared" si="134"/>
        <v/>
      </c>
      <c r="PG17" t="str">
        <f t="shared" si="135"/>
        <v/>
      </c>
      <c r="PH17" t="str">
        <f t="shared" si="136"/>
        <v/>
      </c>
      <c r="PI17" t="str">
        <f t="shared" si="137"/>
        <v/>
      </c>
      <c r="PJ17" t="str">
        <f t="shared" si="138"/>
        <v/>
      </c>
      <c r="PK17" t="str">
        <f t="shared" si="139"/>
        <v/>
      </c>
      <c r="PL17" t="str">
        <f t="shared" si="140"/>
        <v/>
      </c>
      <c r="PM17" t="str">
        <f t="shared" si="141"/>
        <v/>
      </c>
      <c r="PN17" t="str">
        <f t="shared" si="142"/>
        <v/>
      </c>
      <c r="PO17" t="str">
        <f t="shared" si="143"/>
        <v/>
      </c>
      <c r="PP17" t="str">
        <f t="shared" si="144"/>
        <v/>
      </c>
      <c r="PQ17" t="str">
        <f t="shared" si="145"/>
        <v/>
      </c>
      <c r="PR17" t="str">
        <f t="shared" si="146"/>
        <v/>
      </c>
      <c r="PS17" t="str">
        <f t="shared" si="147"/>
        <v/>
      </c>
      <c r="PT17" t="str">
        <f t="shared" si="148"/>
        <v/>
      </c>
      <c r="PU17" t="str">
        <f t="shared" si="149"/>
        <v/>
      </c>
      <c r="PV17" t="str">
        <f t="shared" si="150"/>
        <v/>
      </c>
      <c r="PW17" t="str">
        <f t="shared" si="151"/>
        <v/>
      </c>
      <c r="PX17" t="str">
        <f t="shared" si="152"/>
        <v/>
      </c>
      <c r="PY17" t="str">
        <f t="shared" si="153"/>
        <v/>
      </c>
      <c r="PZ17" t="str">
        <f t="shared" si="154"/>
        <v/>
      </c>
      <c r="QA17" t="str">
        <f t="shared" si="155"/>
        <v/>
      </c>
      <c r="QB17" t="str">
        <f t="shared" si="156"/>
        <v/>
      </c>
      <c r="QC17" t="str">
        <f t="shared" si="157"/>
        <v/>
      </c>
      <c r="QD17" t="str">
        <f t="shared" si="158"/>
        <v/>
      </c>
      <c r="QE17" t="str">
        <f t="shared" si="159"/>
        <v/>
      </c>
      <c r="QF17" t="str">
        <f t="shared" si="160"/>
        <v/>
      </c>
      <c r="QG17" t="str">
        <f t="shared" si="161"/>
        <v/>
      </c>
      <c r="QH17" t="str">
        <f t="shared" si="162"/>
        <v/>
      </c>
      <c r="QI17" t="str">
        <f t="shared" si="163"/>
        <v/>
      </c>
      <c r="QJ17" t="str">
        <f t="shared" si="164"/>
        <v/>
      </c>
      <c r="QK17" t="str">
        <f t="shared" si="165"/>
        <v/>
      </c>
      <c r="QL17" t="str">
        <f t="shared" si="166"/>
        <v/>
      </c>
      <c r="QM17" t="str">
        <f t="shared" si="167"/>
        <v/>
      </c>
      <c r="QN17" t="str">
        <f t="shared" si="168"/>
        <v/>
      </c>
      <c r="QO17" t="str">
        <f t="shared" si="169"/>
        <v/>
      </c>
      <c r="QP17" t="str">
        <f t="shared" si="170"/>
        <v/>
      </c>
      <c r="QQ17" t="str">
        <f t="shared" si="171"/>
        <v/>
      </c>
      <c r="QR17" t="str">
        <f t="shared" si="172"/>
        <v/>
      </c>
      <c r="QS17" t="str">
        <f t="shared" si="173"/>
        <v/>
      </c>
      <c r="QT17" t="str">
        <f t="shared" si="174"/>
        <v/>
      </c>
      <c r="QU17" t="str">
        <f t="shared" si="175"/>
        <v/>
      </c>
      <c r="QV17" t="str">
        <f t="shared" si="176"/>
        <v/>
      </c>
      <c r="QW17" t="str">
        <f t="shared" si="177"/>
        <v/>
      </c>
      <c r="QX17" t="str">
        <f t="shared" si="178"/>
        <v/>
      </c>
      <c r="QY17" t="str">
        <f t="shared" si="179"/>
        <v/>
      </c>
      <c r="QZ17" t="str">
        <f t="shared" si="180"/>
        <v/>
      </c>
      <c r="RA17" t="str">
        <f t="shared" si="181"/>
        <v/>
      </c>
      <c r="RB17" t="str">
        <f t="shared" si="182"/>
        <v/>
      </c>
      <c r="RC17" t="str">
        <f t="shared" si="183"/>
        <v/>
      </c>
      <c r="RD17" t="str">
        <f t="shared" si="184"/>
        <v/>
      </c>
      <c r="RE17" t="str">
        <f t="shared" si="185"/>
        <v/>
      </c>
      <c r="RF17" t="str">
        <f t="shared" si="186"/>
        <v/>
      </c>
      <c r="RG17" t="str">
        <f t="shared" si="187"/>
        <v/>
      </c>
      <c r="RH17" t="str">
        <f t="shared" si="188"/>
        <v/>
      </c>
      <c r="RI17" t="str">
        <f t="shared" si="189"/>
        <v/>
      </c>
      <c r="RJ17" t="str">
        <f t="shared" si="190"/>
        <v/>
      </c>
      <c r="RK17" t="str">
        <f t="shared" si="191"/>
        <v/>
      </c>
      <c r="RL17" t="str">
        <f t="shared" si="192"/>
        <v/>
      </c>
      <c r="RM17" t="str">
        <f t="shared" si="193"/>
        <v/>
      </c>
      <c r="RN17" t="str">
        <f t="shared" si="194"/>
        <v/>
      </c>
      <c r="RO17" t="str">
        <f t="shared" si="195"/>
        <v/>
      </c>
      <c r="RP17" t="str">
        <f t="shared" si="196"/>
        <v/>
      </c>
      <c r="RQ17" t="str">
        <f t="shared" si="197"/>
        <v/>
      </c>
      <c r="RR17" t="str">
        <f t="shared" si="198"/>
        <v/>
      </c>
      <c r="RS17" t="str">
        <f t="shared" si="199"/>
        <v/>
      </c>
      <c r="RT17" t="str">
        <f t="shared" si="200"/>
        <v/>
      </c>
      <c r="RU17" t="str">
        <f t="shared" si="201"/>
        <v/>
      </c>
      <c r="RV17" t="str">
        <f t="shared" si="202"/>
        <v/>
      </c>
      <c r="RW17" t="str">
        <f t="shared" si="203"/>
        <v/>
      </c>
      <c r="RX17" t="str">
        <f t="shared" si="204"/>
        <v/>
      </c>
      <c r="RY17" t="str">
        <f t="shared" si="205"/>
        <v/>
      </c>
      <c r="RZ17" t="str">
        <f t="shared" si="206"/>
        <v/>
      </c>
      <c r="SA17" t="str">
        <f t="shared" si="207"/>
        <v/>
      </c>
      <c r="SB17" t="str">
        <f t="shared" si="208"/>
        <v/>
      </c>
      <c r="SC17" t="str">
        <f t="shared" si="209"/>
        <v/>
      </c>
      <c r="SD17" t="str">
        <f t="shared" si="210"/>
        <v/>
      </c>
      <c r="SE17" t="str">
        <f t="shared" si="211"/>
        <v/>
      </c>
      <c r="SF17" t="str">
        <f t="shared" si="212"/>
        <v/>
      </c>
      <c r="SG17" t="str">
        <f t="shared" si="213"/>
        <v/>
      </c>
      <c r="SH17" t="str">
        <f t="shared" si="214"/>
        <v/>
      </c>
      <c r="SI17" t="str">
        <f t="shared" si="215"/>
        <v/>
      </c>
      <c r="SJ17" t="str">
        <f t="shared" si="216"/>
        <v/>
      </c>
      <c r="SK17" t="str">
        <f t="shared" si="217"/>
        <v/>
      </c>
      <c r="SL17" t="str">
        <f t="shared" si="218"/>
        <v/>
      </c>
      <c r="SM17" t="str">
        <f t="shared" si="219"/>
        <v/>
      </c>
      <c r="SN17" t="str">
        <f t="shared" si="220"/>
        <v/>
      </c>
      <c r="SO17" t="str">
        <f t="shared" si="221"/>
        <v/>
      </c>
      <c r="SP17" t="str">
        <f t="shared" si="222"/>
        <v/>
      </c>
    </row>
    <row r="18" spans="2:510" x14ac:dyDescent="0.3">
      <c r="B18" t="s">
        <v>30</v>
      </c>
      <c r="C18" cm="1" vm="14">
        <f t="array" aca="1" ref="C18" ca="1">INDEX(_xlfn.ANCHORARRAY(G18),D18)</f>
        <v>223.47</v>
      </c>
      <c r="D18">
        <f t="shared" ca="1" si="223"/>
        <v>19</v>
      </c>
      <c r="F18" t="s">
        <v>2</v>
      </c>
      <c r="G18" cm="1" vm="35">
        <f t="array" aca="1" ref="G18:Y18" ca="1">TRANSPOSE(_xlfn.STOCKHISTORY(F18,$H$4,G$4,0,0,1))</f>
        <v>217.97</v>
      </c>
      <c r="H18" vm="56">
        <f ca="1"/>
        <v>221.11</v>
      </c>
      <c r="I18" vm="77">
        <f ca="1"/>
        <v>221.62</v>
      </c>
      <c r="J18" vm="97">
        <f ca="1"/>
        <v>221.42</v>
      </c>
      <c r="K18" vm="118">
        <f ca="1"/>
        <v>221.43</v>
      </c>
      <c r="L18" vm="139">
        <f ca="1"/>
        <v>210.78</v>
      </c>
      <c r="M18" vm="160">
        <f ca="1"/>
        <v>207.58</v>
      </c>
      <c r="N18" vm="181">
        <f ca="1"/>
        <v>209.17</v>
      </c>
      <c r="O18" vm="202">
        <f ca="1"/>
        <v>198.11</v>
      </c>
      <c r="P18" vm="223">
        <f ca="1"/>
        <v>201.06</v>
      </c>
      <c r="Q18" vm="244">
        <f ca="1"/>
        <v>213.43</v>
      </c>
      <c r="R18" vm="265">
        <f ca="1"/>
        <v>214.95</v>
      </c>
      <c r="S18" vm="286">
        <f ca="1"/>
        <v>214.9</v>
      </c>
      <c r="T18" vm="307">
        <f ca="1"/>
        <v>215.04</v>
      </c>
      <c r="U18" vm="327">
        <f ca="1"/>
        <v>214.99</v>
      </c>
      <c r="V18" vm="348">
        <f ca="1"/>
        <v>215.61</v>
      </c>
      <c r="W18" vm="368">
        <f ca="1"/>
        <v>215.34</v>
      </c>
      <c r="X18" vm="389">
        <f ca="1"/>
        <v>214.16</v>
      </c>
      <c r="Y18" vm="14">
        <f ca="1"/>
        <v>223.47</v>
      </c>
      <c r="KB18" t="str">
        <f t="shared" si="0"/>
        <v/>
      </c>
      <c r="KC18" t="str">
        <f t="shared" si="1"/>
        <v/>
      </c>
      <c r="KD18" t="str">
        <f t="shared" si="2"/>
        <v/>
      </c>
      <c r="KE18" t="str">
        <f t="shared" si="3"/>
        <v/>
      </c>
      <c r="KF18" t="str">
        <f t="shared" si="4"/>
        <v/>
      </c>
      <c r="KG18" t="str">
        <f t="shared" si="5"/>
        <v/>
      </c>
      <c r="KH18" t="str">
        <f t="shared" si="6"/>
        <v/>
      </c>
      <c r="KI18" t="str">
        <f t="shared" si="7"/>
        <v/>
      </c>
      <c r="KJ18" t="str">
        <f t="shared" si="8"/>
        <v/>
      </c>
      <c r="KK18" t="str">
        <f t="shared" si="9"/>
        <v/>
      </c>
      <c r="KL18" t="str">
        <f t="shared" si="10"/>
        <v/>
      </c>
      <c r="KM18" t="str">
        <f t="shared" si="11"/>
        <v/>
      </c>
      <c r="KN18" t="str">
        <f t="shared" si="12"/>
        <v/>
      </c>
      <c r="KO18" t="str">
        <f t="shared" si="13"/>
        <v/>
      </c>
      <c r="KP18" t="str">
        <f t="shared" si="14"/>
        <v/>
      </c>
      <c r="KQ18" t="str">
        <f t="shared" si="15"/>
        <v/>
      </c>
      <c r="KR18" t="str">
        <f t="shared" si="16"/>
        <v/>
      </c>
      <c r="KS18" t="str">
        <f t="shared" si="17"/>
        <v/>
      </c>
      <c r="KT18" t="str">
        <f t="shared" si="18"/>
        <v/>
      </c>
      <c r="KU18" t="str">
        <f t="shared" si="19"/>
        <v/>
      </c>
      <c r="KV18" t="str">
        <f t="shared" si="20"/>
        <v/>
      </c>
      <c r="KW18" t="str">
        <f t="shared" si="21"/>
        <v/>
      </c>
      <c r="KX18" t="str">
        <f t="shared" si="22"/>
        <v/>
      </c>
      <c r="KY18" t="str">
        <f t="shared" si="23"/>
        <v/>
      </c>
      <c r="KZ18" t="str">
        <f t="shared" si="24"/>
        <v/>
      </c>
      <c r="LA18" t="str">
        <f t="shared" si="25"/>
        <v/>
      </c>
      <c r="LB18" t="str">
        <f t="shared" si="26"/>
        <v/>
      </c>
      <c r="LC18" t="str">
        <f t="shared" si="27"/>
        <v/>
      </c>
      <c r="LD18" t="str">
        <f t="shared" si="28"/>
        <v/>
      </c>
      <c r="LE18" t="str">
        <f t="shared" si="29"/>
        <v/>
      </c>
      <c r="LF18" t="str">
        <f t="shared" si="30"/>
        <v/>
      </c>
      <c r="LG18" t="str">
        <f t="shared" si="31"/>
        <v/>
      </c>
      <c r="LH18" t="str">
        <f t="shared" si="32"/>
        <v/>
      </c>
      <c r="LI18" t="str">
        <f t="shared" si="33"/>
        <v/>
      </c>
      <c r="LJ18" t="str">
        <f t="shared" si="34"/>
        <v/>
      </c>
      <c r="LK18" t="str">
        <f t="shared" si="35"/>
        <v/>
      </c>
      <c r="LL18" t="str">
        <f t="shared" si="36"/>
        <v/>
      </c>
      <c r="LM18" t="str">
        <f t="shared" si="37"/>
        <v/>
      </c>
      <c r="LN18" t="str">
        <f t="shared" si="38"/>
        <v/>
      </c>
      <c r="LO18" t="str">
        <f t="shared" si="39"/>
        <v/>
      </c>
      <c r="LP18" t="str">
        <f t="shared" si="40"/>
        <v/>
      </c>
      <c r="LQ18" t="str">
        <f t="shared" si="41"/>
        <v/>
      </c>
      <c r="LR18" t="str">
        <f t="shared" si="42"/>
        <v/>
      </c>
      <c r="LS18" t="str">
        <f t="shared" si="43"/>
        <v/>
      </c>
      <c r="LT18" t="str">
        <f t="shared" si="44"/>
        <v/>
      </c>
      <c r="LU18" t="str">
        <f t="shared" si="45"/>
        <v/>
      </c>
      <c r="LV18" t="str">
        <f t="shared" si="46"/>
        <v/>
      </c>
      <c r="LW18" t="str">
        <f t="shared" si="47"/>
        <v/>
      </c>
      <c r="LX18" t="str">
        <f t="shared" si="48"/>
        <v/>
      </c>
      <c r="LY18" t="str">
        <f t="shared" si="49"/>
        <v/>
      </c>
      <c r="LZ18" t="str">
        <f t="shared" si="50"/>
        <v/>
      </c>
      <c r="MA18" t="str">
        <f t="shared" si="51"/>
        <v/>
      </c>
      <c r="MB18" t="str">
        <f t="shared" si="52"/>
        <v/>
      </c>
      <c r="MC18" t="str">
        <f t="shared" si="53"/>
        <v/>
      </c>
      <c r="MD18" t="str">
        <f t="shared" si="54"/>
        <v/>
      </c>
      <c r="ME18" t="str">
        <f t="shared" si="55"/>
        <v/>
      </c>
      <c r="MF18" t="str">
        <f t="shared" si="56"/>
        <v/>
      </c>
      <c r="MG18" t="str">
        <f t="shared" si="57"/>
        <v/>
      </c>
      <c r="MH18" t="str">
        <f t="shared" si="58"/>
        <v/>
      </c>
      <c r="MI18" t="str">
        <f t="shared" si="59"/>
        <v/>
      </c>
      <c r="MJ18" t="str">
        <f t="shared" si="60"/>
        <v/>
      </c>
      <c r="MK18" t="str">
        <f t="shared" si="61"/>
        <v/>
      </c>
      <c r="ML18" t="str">
        <f t="shared" si="62"/>
        <v/>
      </c>
      <c r="MM18" t="str">
        <f t="shared" si="63"/>
        <v/>
      </c>
      <c r="MN18" t="str">
        <f t="shared" si="64"/>
        <v/>
      </c>
      <c r="MO18" t="str">
        <f t="shared" si="65"/>
        <v/>
      </c>
      <c r="MP18" t="str">
        <f t="shared" si="66"/>
        <v/>
      </c>
      <c r="MQ18" t="str">
        <f t="shared" si="67"/>
        <v/>
      </c>
      <c r="MR18" t="str">
        <f t="shared" si="68"/>
        <v/>
      </c>
      <c r="MS18" t="str">
        <f t="shared" si="69"/>
        <v/>
      </c>
      <c r="MT18" t="str">
        <f t="shared" si="70"/>
        <v/>
      </c>
      <c r="MU18" t="str">
        <f t="shared" si="71"/>
        <v/>
      </c>
      <c r="MV18" t="str">
        <f t="shared" si="72"/>
        <v/>
      </c>
      <c r="MW18" t="str">
        <f t="shared" si="73"/>
        <v/>
      </c>
      <c r="MX18" t="str">
        <f t="shared" si="74"/>
        <v/>
      </c>
      <c r="MY18" t="str">
        <f t="shared" si="75"/>
        <v/>
      </c>
      <c r="MZ18" t="str">
        <f t="shared" si="76"/>
        <v/>
      </c>
      <c r="NA18" t="str">
        <f t="shared" si="77"/>
        <v/>
      </c>
      <c r="NB18" t="str">
        <f t="shared" si="78"/>
        <v/>
      </c>
      <c r="NC18" t="str">
        <f t="shared" si="79"/>
        <v/>
      </c>
      <c r="ND18" t="str">
        <f t="shared" si="80"/>
        <v/>
      </c>
      <c r="NE18" t="str">
        <f t="shared" si="81"/>
        <v/>
      </c>
      <c r="NF18" t="str">
        <f t="shared" si="82"/>
        <v/>
      </c>
      <c r="NG18" t="str">
        <f t="shared" si="83"/>
        <v/>
      </c>
      <c r="NH18" t="str">
        <f t="shared" si="84"/>
        <v/>
      </c>
      <c r="NI18" t="str">
        <f t="shared" si="85"/>
        <v/>
      </c>
      <c r="NJ18" t="str">
        <f t="shared" si="86"/>
        <v/>
      </c>
      <c r="NK18" t="str">
        <f t="shared" si="87"/>
        <v/>
      </c>
      <c r="NL18" t="str">
        <f t="shared" si="88"/>
        <v/>
      </c>
      <c r="NM18" t="str">
        <f t="shared" si="89"/>
        <v/>
      </c>
      <c r="NN18" t="str">
        <f t="shared" si="90"/>
        <v/>
      </c>
      <c r="NO18" t="str">
        <f t="shared" si="91"/>
        <v/>
      </c>
      <c r="NP18" t="str">
        <f t="shared" si="92"/>
        <v/>
      </c>
      <c r="NQ18" t="str">
        <f t="shared" si="93"/>
        <v/>
      </c>
      <c r="NR18" t="str">
        <f t="shared" si="94"/>
        <v/>
      </c>
      <c r="NS18" t="str">
        <f t="shared" si="95"/>
        <v/>
      </c>
      <c r="NT18" t="str">
        <f t="shared" si="96"/>
        <v/>
      </c>
      <c r="NU18" t="str">
        <f t="shared" si="97"/>
        <v/>
      </c>
      <c r="NV18" t="str">
        <f t="shared" si="98"/>
        <v/>
      </c>
      <c r="NW18" t="str">
        <f t="shared" si="99"/>
        <v/>
      </c>
      <c r="NX18" t="str">
        <f t="shared" si="100"/>
        <v/>
      </c>
      <c r="NY18" t="str">
        <f t="shared" si="101"/>
        <v/>
      </c>
      <c r="NZ18" t="str">
        <f t="shared" si="102"/>
        <v/>
      </c>
      <c r="OA18" t="str">
        <f t="shared" si="103"/>
        <v/>
      </c>
      <c r="OB18" t="str">
        <f t="shared" si="104"/>
        <v/>
      </c>
      <c r="OC18" t="str">
        <f t="shared" si="105"/>
        <v/>
      </c>
      <c r="OD18" t="str">
        <f t="shared" si="106"/>
        <v/>
      </c>
      <c r="OE18" t="str">
        <f t="shared" si="107"/>
        <v/>
      </c>
      <c r="OF18" t="str">
        <f t="shared" si="108"/>
        <v/>
      </c>
      <c r="OG18" t="str">
        <f t="shared" si="109"/>
        <v/>
      </c>
      <c r="OH18" t="str">
        <f t="shared" si="110"/>
        <v/>
      </c>
      <c r="OI18" t="str">
        <f t="shared" si="111"/>
        <v/>
      </c>
      <c r="OJ18" t="str">
        <f t="shared" si="112"/>
        <v/>
      </c>
      <c r="OK18" t="str">
        <f t="shared" si="113"/>
        <v/>
      </c>
      <c r="OL18" t="str">
        <f t="shared" si="114"/>
        <v/>
      </c>
      <c r="OM18" t="str">
        <f t="shared" si="115"/>
        <v/>
      </c>
      <c r="ON18" t="str">
        <f t="shared" si="116"/>
        <v/>
      </c>
      <c r="OO18" t="str">
        <f t="shared" si="117"/>
        <v/>
      </c>
      <c r="OP18" t="str">
        <f t="shared" si="118"/>
        <v/>
      </c>
      <c r="OQ18" t="str">
        <f t="shared" si="119"/>
        <v/>
      </c>
      <c r="OR18" t="str">
        <f t="shared" si="120"/>
        <v/>
      </c>
      <c r="OS18" t="str">
        <f t="shared" si="121"/>
        <v/>
      </c>
      <c r="OT18" t="str">
        <f t="shared" si="122"/>
        <v/>
      </c>
      <c r="OU18" t="str">
        <f t="shared" si="123"/>
        <v/>
      </c>
      <c r="OV18" t="str">
        <f t="shared" si="124"/>
        <v/>
      </c>
      <c r="OW18" t="str">
        <f t="shared" si="125"/>
        <v/>
      </c>
      <c r="OX18" t="str">
        <f t="shared" si="126"/>
        <v/>
      </c>
      <c r="OY18" t="str">
        <f t="shared" si="127"/>
        <v/>
      </c>
      <c r="OZ18" t="str">
        <f t="shared" si="128"/>
        <v/>
      </c>
      <c r="PA18" t="str">
        <f t="shared" si="129"/>
        <v/>
      </c>
      <c r="PB18" t="str">
        <f t="shared" si="130"/>
        <v/>
      </c>
      <c r="PC18" t="str">
        <f t="shared" si="131"/>
        <v/>
      </c>
      <c r="PD18" t="str">
        <f t="shared" si="132"/>
        <v/>
      </c>
      <c r="PE18" t="str">
        <f t="shared" si="133"/>
        <v/>
      </c>
      <c r="PF18" t="str">
        <f t="shared" si="134"/>
        <v/>
      </c>
      <c r="PG18" t="str">
        <f t="shared" si="135"/>
        <v/>
      </c>
      <c r="PH18" t="str">
        <f t="shared" si="136"/>
        <v/>
      </c>
      <c r="PI18" t="str">
        <f t="shared" si="137"/>
        <v/>
      </c>
      <c r="PJ18" t="str">
        <f t="shared" si="138"/>
        <v/>
      </c>
      <c r="PK18" t="str">
        <f t="shared" si="139"/>
        <v/>
      </c>
      <c r="PL18" t="str">
        <f t="shared" si="140"/>
        <v/>
      </c>
      <c r="PM18" t="str">
        <f t="shared" si="141"/>
        <v/>
      </c>
      <c r="PN18" t="str">
        <f t="shared" si="142"/>
        <v/>
      </c>
      <c r="PO18" t="str">
        <f t="shared" si="143"/>
        <v/>
      </c>
      <c r="PP18" t="str">
        <f t="shared" si="144"/>
        <v/>
      </c>
      <c r="PQ18" t="str">
        <f t="shared" si="145"/>
        <v/>
      </c>
      <c r="PR18" t="str">
        <f t="shared" si="146"/>
        <v/>
      </c>
      <c r="PS18" t="str">
        <f t="shared" si="147"/>
        <v/>
      </c>
      <c r="PT18" t="str">
        <f t="shared" si="148"/>
        <v/>
      </c>
      <c r="PU18" t="str">
        <f t="shared" si="149"/>
        <v/>
      </c>
      <c r="PV18" t="str">
        <f t="shared" si="150"/>
        <v/>
      </c>
      <c r="PW18" t="str">
        <f t="shared" si="151"/>
        <v/>
      </c>
      <c r="PX18" t="str">
        <f t="shared" si="152"/>
        <v/>
      </c>
      <c r="PY18" t="str">
        <f t="shared" si="153"/>
        <v/>
      </c>
      <c r="PZ18" t="str">
        <f t="shared" si="154"/>
        <v/>
      </c>
      <c r="QA18" t="str">
        <f t="shared" si="155"/>
        <v/>
      </c>
      <c r="QB18" t="str">
        <f t="shared" si="156"/>
        <v/>
      </c>
      <c r="QC18" t="str">
        <f t="shared" si="157"/>
        <v/>
      </c>
      <c r="QD18" t="str">
        <f t="shared" si="158"/>
        <v/>
      </c>
      <c r="QE18" t="str">
        <f t="shared" si="159"/>
        <v/>
      </c>
      <c r="QF18" t="str">
        <f t="shared" si="160"/>
        <v/>
      </c>
      <c r="QG18" t="str">
        <f t="shared" si="161"/>
        <v/>
      </c>
      <c r="QH18" t="str">
        <f t="shared" si="162"/>
        <v/>
      </c>
      <c r="QI18" t="str">
        <f t="shared" si="163"/>
        <v/>
      </c>
      <c r="QJ18" t="str">
        <f t="shared" si="164"/>
        <v/>
      </c>
      <c r="QK18" t="str">
        <f t="shared" si="165"/>
        <v/>
      </c>
      <c r="QL18" t="str">
        <f t="shared" si="166"/>
        <v/>
      </c>
      <c r="QM18" t="str">
        <f t="shared" si="167"/>
        <v/>
      </c>
      <c r="QN18" t="str">
        <f t="shared" si="168"/>
        <v/>
      </c>
      <c r="QO18" t="str">
        <f t="shared" si="169"/>
        <v/>
      </c>
      <c r="QP18" t="str">
        <f t="shared" si="170"/>
        <v/>
      </c>
      <c r="QQ18" t="str">
        <f t="shared" si="171"/>
        <v/>
      </c>
      <c r="QR18" t="str">
        <f t="shared" si="172"/>
        <v/>
      </c>
      <c r="QS18" t="str">
        <f t="shared" si="173"/>
        <v/>
      </c>
      <c r="QT18" t="str">
        <f t="shared" si="174"/>
        <v/>
      </c>
      <c r="QU18" t="str">
        <f t="shared" si="175"/>
        <v/>
      </c>
      <c r="QV18" t="str">
        <f t="shared" si="176"/>
        <v/>
      </c>
      <c r="QW18" t="str">
        <f t="shared" si="177"/>
        <v/>
      </c>
      <c r="QX18" t="str">
        <f t="shared" si="178"/>
        <v/>
      </c>
      <c r="QY18" t="str">
        <f t="shared" si="179"/>
        <v/>
      </c>
      <c r="QZ18" t="str">
        <f t="shared" si="180"/>
        <v/>
      </c>
      <c r="RA18" t="str">
        <f t="shared" si="181"/>
        <v/>
      </c>
      <c r="RB18" t="str">
        <f t="shared" si="182"/>
        <v/>
      </c>
      <c r="RC18" t="str">
        <f t="shared" si="183"/>
        <v/>
      </c>
      <c r="RD18" t="str">
        <f t="shared" si="184"/>
        <v/>
      </c>
      <c r="RE18" t="str">
        <f t="shared" si="185"/>
        <v/>
      </c>
      <c r="RF18" t="str">
        <f t="shared" si="186"/>
        <v/>
      </c>
      <c r="RG18" t="str">
        <f t="shared" si="187"/>
        <v/>
      </c>
      <c r="RH18" t="str">
        <f t="shared" si="188"/>
        <v/>
      </c>
      <c r="RI18" t="str">
        <f t="shared" si="189"/>
        <v/>
      </c>
      <c r="RJ18" t="str">
        <f t="shared" si="190"/>
        <v/>
      </c>
      <c r="RK18" t="str">
        <f t="shared" si="191"/>
        <v/>
      </c>
      <c r="RL18" t="str">
        <f t="shared" si="192"/>
        <v/>
      </c>
      <c r="RM18" t="str">
        <f t="shared" si="193"/>
        <v/>
      </c>
      <c r="RN18" t="str">
        <f t="shared" si="194"/>
        <v/>
      </c>
      <c r="RO18" t="str">
        <f t="shared" si="195"/>
        <v/>
      </c>
      <c r="RP18" t="str">
        <f t="shared" si="196"/>
        <v/>
      </c>
      <c r="RQ18" t="str">
        <f t="shared" si="197"/>
        <v/>
      </c>
      <c r="RR18" t="str">
        <f t="shared" si="198"/>
        <v/>
      </c>
      <c r="RS18" t="str">
        <f t="shared" si="199"/>
        <v/>
      </c>
      <c r="RT18" t="str">
        <f t="shared" si="200"/>
        <v/>
      </c>
      <c r="RU18" t="str">
        <f t="shared" si="201"/>
        <v/>
      </c>
      <c r="RV18" t="str">
        <f t="shared" si="202"/>
        <v/>
      </c>
      <c r="RW18" t="str">
        <f t="shared" si="203"/>
        <v/>
      </c>
      <c r="RX18" t="str">
        <f t="shared" si="204"/>
        <v/>
      </c>
      <c r="RY18" t="str">
        <f t="shared" si="205"/>
        <v/>
      </c>
      <c r="RZ18" t="str">
        <f t="shared" si="206"/>
        <v/>
      </c>
      <c r="SA18" t="str">
        <f t="shared" si="207"/>
        <v/>
      </c>
      <c r="SB18" t="str">
        <f t="shared" si="208"/>
        <v/>
      </c>
      <c r="SC18" t="str">
        <f t="shared" si="209"/>
        <v/>
      </c>
      <c r="SD18" t="str">
        <f t="shared" si="210"/>
        <v/>
      </c>
      <c r="SE18" t="str">
        <f t="shared" si="211"/>
        <v/>
      </c>
      <c r="SF18" t="str">
        <f t="shared" si="212"/>
        <v/>
      </c>
      <c r="SG18" t="str">
        <f t="shared" si="213"/>
        <v/>
      </c>
      <c r="SH18" t="str">
        <f t="shared" si="214"/>
        <v/>
      </c>
      <c r="SI18" t="str">
        <f t="shared" si="215"/>
        <v/>
      </c>
      <c r="SJ18" t="str">
        <f t="shared" si="216"/>
        <v/>
      </c>
      <c r="SK18" t="str">
        <f t="shared" si="217"/>
        <v/>
      </c>
      <c r="SL18" t="str">
        <f t="shared" si="218"/>
        <v/>
      </c>
      <c r="SM18" t="str">
        <f t="shared" si="219"/>
        <v/>
      </c>
      <c r="SN18" t="str">
        <f t="shared" si="220"/>
        <v/>
      </c>
      <c r="SO18" t="str">
        <f t="shared" si="221"/>
        <v/>
      </c>
      <c r="SP18" t="str">
        <f t="shared" si="222"/>
        <v/>
      </c>
    </row>
    <row r="19" spans="2:510" x14ac:dyDescent="0.3">
      <c r="B19" t="s">
        <v>31</v>
      </c>
      <c r="C19" cm="1" vm="15">
        <f t="array" aca="1" ref="C19" ca="1">INDEX(_xlfn.ANCHORARRAY(G19),D19)</f>
        <v>315.42</v>
      </c>
      <c r="D19">
        <f t="shared" ca="1" si="223"/>
        <v>19</v>
      </c>
      <c r="F19" t="s">
        <v>32</v>
      </c>
      <c r="G19" cm="1" vm="36">
        <f t="array" aca="1" ref="G19:Y19" ca="1">TRANSPOSE(_xlfn.STOCKHISTORY(F19,$H$4,G$4,0,0,1))</f>
        <v>237.22</v>
      </c>
      <c r="H19" vm="57">
        <f ca="1"/>
        <v>246.92</v>
      </c>
      <c r="I19" vm="78">
        <f ca="1"/>
        <v>252.42</v>
      </c>
      <c r="J19" vm="98">
        <f ca="1"/>
        <v>263.70999999999998</v>
      </c>
      <c r="K19" vm="119">
        <f ca="1"/>
        <v>258.45999999999998</v>
      </c>
      <c r="L19" vm="140">
        <f ca="1"/>
        <v>241.14</v>
      </c>
      <c r="M19" vm="161">
        <f ca="1"/>
        <v>237.5</v>
      </c>
      <c r="N19" vm="182">
        <f ca="1"/>
        <v>232.51</v>
      </c>
      <c r="O19" vm="203">
        <f ca="1"/>
        <v>225.52</v>
      </c>
      <c r="P19" vm="224">
        <f ca="1"/>
        <v>248.55</v>
      </c>
      <c r="Q19" vm="245">
        <f ca="1"/>
        <v>265.92</v>
      </c>
      <c r="R19" vm="266">
        <f ca="1"/>
        <v>276.58999999999997</v>
      </c>
      <c r="S19" vm="287">
        <f ca="1"/>
        <v>276.27</v>
      </c>
      <c r="T19" vm="308">
        <f ca="1"/>
        <v>286.68</v>
      </c>
      <c r="U19" vm="328">
        <f ca="1"/>
        <v>284.79000000000002</v>
      </c>
      <c r="V19" vm="349">
        <f ca="1"/>
        <v>294.37</v>
      </c>
      <c r="W19" vm="369">
        <f ca="1"/>
        <v>292.63</v>
      </c>
      <c r="X19" vm="390">
        <f ca="1"/>
        <v>285.41000000000003</v>
      </c>
      <c r="Y19" vm="15">
        <f ca="1"/>
        <v>315.42</v>
      </c>
      <c r="KB19" t="str">
        <f t="shared" si="0"/>
        <v/>
      </c>
      <c r="KC19" t="str">
        <f t="shared" si="1"/>
        <v/>
      </c>
      <c r="KD19" t="str">
        <f t="shared" si="2"/>
        <v/>
      </c>
      <c r="KE19" t="str">
        <f t="shared" si="3"/>
        <v/>
      </c>
      <c r="KF19" t="str">
        <f t="shared" si="4"/>
        <v/>
      </c>
      <c r="KG19" t="str">
        <f t="shared" si="5"/>
        <v/>
      </c>
      <c r="KH19" t="str">
        <f t="shared" si="6"/>
        <v/>
      </c>
      <c r="KI19" t="str">
        <f t="shared" si="7"/>
        <v/>
      </c>
      <c r="KJ19" t="str">
        <f t="shared" si="8"/>
        <v/>
      </c>
      <c r="KK19" t="str">
        <f t="shared" si="9"/>
        <v/>
      </c>
      <c r="KL19" t="str">
        <f t="shared" si="10"/>
        <v/>
      </c>
      <c r="KM19" t="str">
        <f t="shared" si="11"/>
        <v/>
      </c>
      <c r="KN19" t="str">
        <f t="shared" si="12"/>
        <v/>
      </c>
      <c r="KO19" t="str">
        <f t="shared" si="13"/>
        <v/>
      </c>
      <c r="KP19" t="str">
        <f t="shared" si="14"/>
        <v/>
      </c>
      <c r="KQ19" t="str">
        <f t="shared" si="15"/>
        <v/>
      </c>
      <c r="KR19" t="str">
        <f t="shared" si="16"/>
        <v/>
      </c>
      <c r="KS19" t="str">
        <f t="shared" si="17"/>
        <v/>
      </c>
      <c r="KT19" t="str">
        <f t="shared" si="18"/>
        <v/>
      </c>
      <c r="KU19" t="str">
        <f t="shared" si="19"/>
        <v/>
      </c>
      <c r="KV19" t="str">
        <f t="shared" si="20"/>
        <v/>
      </c>
      <c r="KW19" t="str">
        <f t="shared" si="21"/>
        <v/>
      </c>
      <c r="KX19" t="str">
        <f t="shared" si="22"/>
        <v/>
      </c>
      <c r="KY19" t="str">
        <f t="shared" si="23"/>
        <v/>
      </c>
      <c r="KZ19" t="str">
        <f t="shared" si="24"/>
        <v/>
      </c>
      <c r="LA19" t="str">
        <f t="shared" si="25"/>
        <v/>
      </c>
      <c r="LB19" t="str">
        <f t="shared" si="26"/>
        <v/>
      </c>
      <c r="LC19" t="str">
        <f t="shared" si="27"/>
        <v/>
      </c>
      <c r="LD19" t="str">
        <f t="shared" si="28"/>
        <v/>
      </c>
      <c r="LE19" t="str">
        <f t="shared" si="29"/>
        <v/>
      </c>
      <c r="LF19" t="str">
        <f t="shared" si="30"/>
        <v/>
      </c>
      <c r="LG19" t="str">
        <f t="shared" si="31"/>
        <v/>
      </c>
      <c r="LH19" t="str">
        <f t="shared" si="32"/>
        <v/>
      </c>
      <c r="LI19" t="str">
        <f t="shared" si="33"/>
        <v/>
      </c>
      <c r="LJ19" t="str">
        <f t="shared" si="34"/>
        <v/>
      </c>
      <c r="LK19" t="str">
        <f t="shared" si="35"/>
        <v/>
      </c>
      <c r="LL19" t="str">
        <f t="shared" si="36"/>
        <v/>
      </c>
      <c r="LM19" t="str">
        <f t="shared" si="37"/>
        <v/>
      </c>
      <c r="LN19" t="str">
        <f t="shared" si="38"/>
        <v/>
      </c>
      <c r="LO19" t="str">
        <f t="shared" si="39"/>
        <v/>
      </c>
      <c r="LP19" t="str">
        <f t="shared" si="40"/>
        <v/>
      </c>
      <c r="LQ19" t="str">
        <f t="shared" si="41"/>
        <v/>
      </c>
      <c r="LR19" t="str">
        <f t="shared" si="42"/>
        <v/>
      </c>
      <c r="LS19" t="str">
        <f t="shared" si="43"/>
        <v/>
      </c>
      <c r="LT19" t="str">
        <f t="shared" si="44"/>
        <v/>
      </c>
      <c r="LU19" t="str">
        <f t="shared" si="45"/>
        <v/>
      </c>
      <c r="LV19" t="str">
        <f t="shared" si="46"/>
        <v/>
      </c>
      <c r="LW19" t="str">
        <f t="shared" si="47"/>
        <v/>
      </c>
      <c r="LX19" t="str">
        <f t="shared" si="48"/>
        <v/>
      </c>
      <c r="LY19" t="str">
        <f t="shared" si="49"/>
        <v/>
      </c>
      <c r="LZ19" t="str">
        <f t="shared" si="50"/>
        <v/>
      </c>
      <c r="MA19" t="str">
        <f t="shared" si="51"/>
        <v/>
      </c>
      <c r="MB19" t="str">
        <f t="shared" si="52"/>
        <v/>
      </c>
      <c r="MC19" t="str">
        <f t="shared" si="53"/>
        <v/>
      </c>
      <c r="MD19" t="str">
        <f t="shared" si="54"/>
        <v/>
      </c>
      <c r="ME19" t="str">
        <f t="shared" si="55"/>
        <v/>
      </c>
      <c r="MF19" t="str">
        <f t="shared" si="56"/>
        <v/>
      </c>
      <c r="MG19" t="str">
        <f t="shared" si="57"/>
        <v/>
      </c>
      <c r="MH19" t="str">
        <f t="shared" si="58"/>
        <v/>
      </c>
      <c r="MI19" t="str">
        <f t="shared" si="59"/>
        <v/>
      </c>
      <c r="MJ19" t="str">
        <f t="shared" si="60"/>
        <v/>
      </c>
      <c r="MK19" t="str">
        <f t="shared" si="61"/>
        <v/>
      </c>
      <c r="ML19" t="str">
        <f t="shared" si="62"/>
        <v/>
      </c>
      <c r="MM19" t="str">
        <f t="shared" si="63"/>
        <v/>
      </c>
      <c r="MN19" t="str">
        <f t="shared" si="64"/>
        <v/>
      </c>
      <c r="MO19" t="str">
        <f t="shared" si="65"/>
        <v/>
      </c>
      <c r="MP19" t="str">
        <f t="shared" si="66"/>
        <v/>
      </c>
      <c r="MQ19" t="str">
        <f t="shared" si="67"/>
        <v/>
      </c>
      <c r="MR19" t="str">
        <f t="shared" si="68"/>
        <v/>
      </c>
      <c r="MS19" t="str">
        <f t="shared" si="69"/>
        <v/>
      </c>
      <c r="MT19" t="str">
        <f t="shared" si="70"/>
        <v/>
      </c>
      <c r="MU19" t="str">
        <f t="shared" si="71"/>
        <v/>
      </c>
      <c r="MV19" t="str">
        <f t="shared" si="72"/>
        <v/>
      </c>
      <c r="MW19" t="str">
        <f t="shared" si="73"/>
        <v/>
      </c>
      <c r="MX19" t="str">
        <f t="shared" si="74"/>
        <v/>
      </c>
      <c r="MY19" t="str">
        <f t="shared" si="75"/>
        <v/>
      </c>
      <c r="MZ19" t="str">
        <f t="shared" si="76"/>
        <v/>
      </c>
      <c r="NA19" t="str">
        <f t="shared" si="77"/>
        <v/>
      </c>
      <c r="NB19" t="str">
        <f t="shared" si="78"/>
        <v/>
      </c>
      <c r="NC19" t="str">
        <f t="shared" si="79"/>
        <v/>
      </c>
      <c r="ND19" t="str">
        <f t="shared" si="80"/>
        <v/>
      </c>
      <c r="NE19" t="str">
        <f t="shared" si="81"/>
        <v/>
      </c>
      <c r="NF19" t="str">
        <f t="shared" si="82"/>
        <v/>
      </c>
      <c r="NG19" t="str">
        <f t="shared" si="83"/>
        <v/>
      </c>
      <c r="NH19" t="str">
        <f t="shared" si="84"/>
        <v/>
      </c>
      <c r="NI19" t="str">
        <f t="shared" si="85"/>
        <v/>
      </c>
      <c r="NJ19" t="str">
        <f t="shared" si="86"/>
        <v/>
      </c>
      <c r="NK19" t="str">
        <f t="shared" si="87"/>
        <v/>
      </c>
      <c r="NL19" t="str">
        <f t="shared" si="88"/>
        <v/>
      </c>
      <c r="NM19" t="str">
        <f t="shared" si="89"/>
        <v/>
      </c>
      <c r="NN19" t="str">
        <f t="shared" si="90"/>
        <v/>
      </c>
      <c r="NO19" t="str">
        <f t="shared" si="91"/>
        <v/>
      </c>
      <c r="NP19" t="str">
        <f t="shared" si="92"/>
        <v/>
      </c>
      <c r="NQ19" t="str">
        <f t="shared" si="93"/>
        <v/>
      </c>
      <c r="NR19" t="str">
        <f t="shared" si="94"/>
        <v/>
      </c>
      <c r="NS19" t="str">
        <f t="shared" si="95"/>
        <v/>
      </c>
      <c r="NT19" t="str">
        <f t="shared" si="96"/>
        <v/>
      </c>
      <c r="NU19" t="str">
        <f t="shared" si="97"/>
        <v/>
      </c>
      <c r="NV19" t="str">
        <f t="shared" si="98"/>
        <v/>
      </c>
      <c r="NW19" t="str">
        <f t="shared" si="99"/>
        <v/>
      </c>
      <c r="NX19" t="str">
        <f t="shared" si="100"/>
        <v/>
      </c>
      <c r="NY19" t="str">
        <f t="shared" si="101"/>
        <v/>
      </c>
      <c r="NZ19" t="str">
        <f t="shared" si="102"/>
        <v/>
      </c>
      <c r="OA19" t="str">
        <f t="shared" si="103"/>
        <v/>
      </c>
      <c r="OB19" t="str">
        <f t="shared" si="104"/>
        <v/>
      </c>
      <c r="OC19" t="str">
        <f t="shared" si="105"/>
        <v/>
      </c>
      <c r="OD19" t="str">
        <f t="shared" si="106"/>
        <v/>
      </c>
      <c r="OE19" t="str">
        <f t="shared" si="107"/>
        <v/>
      </c>
      <c r="OF19" t="str">
        <f t="shared" si="108"/>
        <v/>
      </c>
      <c r="OG19" t="str">
        <f t="shared" si="109"/>
        <v/>
      </c>
      <c r="OH19" t="str">
        <f t="shared" si="110"/>
        <v/>
      </c>
      <c r="OI19" t="str">
        <f t="shared" si="111"/>
        <v/>
      </c>
      <c r="OJ19" t="str">
        <f t="shared" si="112"/>
        <v/>
      </c>
      <c r="OK19" t="str">
        <f t="shared" si="113"/>
        <v/>
      </c>
      <c r="OL19" t="str">
        <f t="shared" si="114"/>
        <v/>
      </c>
      <c r="OM19" t="str">
        <f t="shared" si="115"/>
        <v/>
      </c>
      <c r="ON19" t="str">
        <f t="shared" si="116"/>
        <v/>
      </c>
      <c r="OO19" t="str">
        <f t="shared" si="117"/>
        <v/>
      </c>
      <c r="OP19" t="str">
        <f t="shared" si="118"/>
        <v/>
      </c>
      <c r="OQ19" t="str">
        <f t="shared" si="119"/>
        <v/>
      </c>
      <c r="OR19" t="str">
        <f t="shared" si="120"/>
        <v/>
      </c>
      <c r="OS19" t="str">
        <f t="shared" si="121"/>
        <v/>
      </c>
      <c r="OT19" t="str">
        <f t="shared" si="122"/>
        <v/>
      </c>
      <c r="OU19" t="str">
        <f t="shared" si="123"/>
        <v/>
      </c>
      <c r="OV19" t="str">
        <f t="shared" si="124"/>
        <v/>
      </c>
      <c r="OW19" t="str">
        <f t="shared" si="125"/>
        <v/>
      </c>
      <c r="OX19" t="str">
        <f t="shared" si="126"/>
        <v/>
      </c>
      <c r="OY19" t="str">
        <f t="shared" si="127"/>
        <v/>
      </c>
      <c r="OZ19" t="str">
        <f t="shared" si="128"/>
        <v/>
      </c>
      <c r="PA19" t="str">
        <f t="shared" si="129"/>
        <v/>
      </c>
      <c r="PB19" t="str">
        <f t="shared" si="130"/>
        <v/>
      </c>
      <c r="PC19" t="str">
        <f t="shared" si="131"/>
        <v/>
      </c>
      <c r="PD19" t="str">
        <f t="shared" si="132"/>
        <v/>
      </c>
      <c r="PE19" t="str">
        <f t="shared" si="133"/>
        <v/>
      </c>
      <c r="PF19" t="str">
        <f t="shared" si="134"/>
        <v/>
      </c>
      <c r="PG19" t="str">
        <f t="shared" si="135"/>
        <v/>
      </c>
      <c r="PH19" t="str">
        <f t="shared" si="136"/>
        <v/>
      </c>
      <c r="PI19" t="str">
        <f t="shared" si="137"/>
        <v/>
      </c>
      <c r="PJ19" t="str">
        <f t="shared" si="138"/>
        <v/>
      </c>
      <c r="PK19" t="str">
        <f t="shared" si="139"/>
        <v/>
      </c>
      <c r="PL19" t="str">
        <f t="shared" si="140"/>
        <v/>
      </c>
      <c r="PM19" t="str">
        <f t="shared" si="141"/>
        <v/>
      </c>
      <c r="PN19" t="str">
        <f t="shared" si="142"/>
        <v/>
      </c>
      <c r="PO19" t="str">
        <f t="shared" si="143"/>
        <v/>
      </c>
      <c r="PP19" t="str">
        <f t="shared" si="144"/>
        <v/>
      </c>
      <c r="PQ19" t="str">
        <f t="shared" si="145"/>
        <v/>
      </c>
      <c r="PR19" t="str">
        <f t="shared" si="146"/>
        <v/>
      </c>
      <c r="PS19" t="str">
        <f t="shared" si="147"/>
        <v/>
      </c>
      <c r="PT19" t="str">
        <f t="shared" si="148"/>
        <v/>
      </c>
      <c r="PU19" t="str">
        <f t="shared" si="149"/>
        <v/>
      </c>
      <c r="PV19" t="str">
        <f t="shared" si="150"/>
        <v/>
      </c>
      <c r="PW19" t="str">
        <f t="shared" si="151"/>
        <v/>
      </c>
      <c r="PX19" t="str">
        <f t="shared" si="152"/>
        <v/>
      </c>
      <c r="PY19" t="str">
        <f t="shared" si="153"/>
        <v/>
      </c>
      <c r="PZ19" t="str">
        <f t="shared" si="154"/>
        <v/>
      </c>
      <c r="QA19" t="str">
        <f t="shared" si="155"/>
        <v/>
      </c>
      <c r="QB19" t="str">
        <f t="shared" si="156"/>
        <v/>
      </c>
      <c r="QC19" t="str">
        <f t="shared" si="157"/>
        <v/>
      </c>
      <c r="QD19" t="str">
        <f t="shared" si="158"/>
        <v/>
      </c>
      <c r="QE19" t="str">
        <f t="shared" si="159"/>
        <v/>
      </c>
      <c r="QF19" t="str">
        <f t="shared" si="160"/>
        <v/>
      </c>
      <c r="QG19" t="str">
        <f t="shared" si="161"/>
        <v/>
      </c>
      <c r="QH19" t="str">
        <f t="shared" si="162"/>
        <v/>
      </c>
      <c r="QI19" t="str">
        <f t="shared" si="163"/>
        <v/>
      </c>
      <c r="QJ19" t="str">
        <f t="shared" si="164"/>
        <v/>
      </c>
      <c r="QK19" t="str">
        <f t="shared" si="165"/>
        <v/>
      </c>
      <c r="QL19" t="str">
        <f t="shared" si="166"/>
        <v/>
      </c>
      <c r="QM19" t="str">
        <f t="shared" si="167"/>
        <v/>
      </c>
      <c r="QN19" t="str">
        <f t="shared" si="168"/>
        <v/>
      </c>
      <c r="QO19" t="str">
        <f t="shared" si="169"/>
        <v/>
      </c>
      <c r="QP19" t="str">
        <f t="shared" si="170"/>
        <v/>
      </c>
      <c r="QQ19" t="str">
        <f t="shared" si="171"/>
        <v/>
      </c>
      <c r="QR19" t="str">
        <f t="shared" si="172"/>
        <v/>
      </c>
      <c r="QS19" t="str">
        <f t="shared" si="173"/>
        <v/>
      </c>
      <c r="QT19" t="str">
        <f t="shared" si="174"/>
        <v/>
      </c>
      <c r="QU19" t="str">
        <f t="shared" si="175"/>
        <v/>
      </c>
      <c r="QV19" t="str">
        <f t="shared" si="176"/>
        <v/>
      </c>
      <c r="QW19" t="str">
        <f t="shared" si="177"/>
        <v/>
      </c>
      <c r="QX19" t="str">
        <f t="shared" si="178"/>
        <v/>
      </c>
      <c r="QY19" t="str">
        <f t="shared" si="179"/>
        <v/>
      </c>
      <c r="QZ19" t="str">
        <f t="shared" si="180"/>
        <v/>
      </c>
      <c r="RA19" t="str">
        <f t="shared" si="181"/>
        <v/>
      </c>
      <c r="RB19" t="str">
        <f t="shared" si="182"/>
        <v/>
      </c>
      <c r="RC19" t="str">
        <f t="shared" si="183"/>
        <v/>
      </c>
      <c r="RD19" t="str">
        <f t="shared" si="184"/>
        <v/>
      </c>
      <c r="RE19" t="str">
        <f t="shared" si="185"/>
        <v/>
      </c>
      <c r="RF19" t="str">
        <f t="shared" si="186"/>
        <v/>
      </c>
      <c r="RG19" t="str">
        <f t="shared" si="187"/>
        <v/>
      </c>
      <c r="RH19" t="str">
        <f t="shared" si="188"/>
        <v/>
      </c>
      <c r="RI19" t="str">
        <f t="shared" si="189"/>
        <v/>
      </c>
      <c r="RJ19" t="str">
        <f t="shared" si="190"/>
        <v/>
      </c>
      <c r="RK19" t="str">
        <f t="shared" si="191"/>
        <v/>
      </c>
      <c r="RL19" t="str">
        <f t="shared" si="192"/>
        <v/>
      </c>
      <c r="RM19" t="str">
        <f t="shared" si="193"/>
        <v/>
      </c>
      <c r="RN19" t="str">
        <f t="shared" si="194"/>
        <v/>
      </c>
      <c r="RO19" t="str">
        <f t="shared" si="195"/>
        <v/>
      </c>
      <c r="RP19" t="str">
        <f t="shared" si="196"/>
        <v/>
      </c>
      <c r="RQ19" t="str">
        <f t="shared" si="197"/>
        <v/>
      </c>
      <c r="RR19" t="str">
        <f t="shared" si="198"/>
        <v/>
      </c>
      <c r="RS19" t="str">
        <f t="shared" si="199"/>
        <v/>
      </c>
      <c r="RT19" t="str">
        <f t="shared" si="200"/>
        <v/>
      </c>
      <c r="RU19" t="str">
        <f t="shared" si="201"/>
        <v/>
      </c>
      <c r="RV19" t="str">
        <f t="shared" si="202"/>
        <v/>
      </c>
      <c r="RW19" t="str">
        <f t="shared" si="203"/>
        <v/>
      </c>
      <c r="RX19" t="str">
        <f t="shared" si="204"/>
        <v/>
      </c>
      <c r="RY19" t="str">
        <f t="shared" si="205"/>
        <v/>
      </c>
      <c r="RZ19" t="str">
        <f t="shared" si="206"/>
        <v/>
      </c>
      <c r="SA19" t="str">
        <f t="shared" si="207"/>
        <v/>
      </c>
      <c r="SB19" t="str">
        <f t="shared" si="208"/>
        <v/>
      </c>
      <c r="SC19" t="str">
        <f t="shared" si="209"/>
        <v/>
      </c>
      <c r="SD19" t="str">
        <f t="shared" si="210"/>
        <v/>
      </c>
      <c r="SE19" t="str">
        <f t="shared" si="211"/>
        <v/>
      </c>
      <c r="SF19" t="str">
        <f t="shared" si="212"/>
        <v/>
      </c>
      <c r="SG19" t="str">
        <f t="shared" si="213"/>
        <v/>
      </c>
      <c r="SH19" t="str">
        <f t="shared" si="214"/>
        <v/>
      </c>
      <c r="SI19" t="str">
        <f t="shared" si="215"/>
        <v/>
      </c>
      <c r="SJ19" t="str">
        <f t="shared" si="216"/>
        <v/>
      </c>
      <c r="SK19" t="str">
        <f t="shared" si="217"/>
        <v/>
      </c>
      <c r="SL19" t="str">
        <f t="shared" si="218"/>
        <v/>
      </c>
      <c r="SM19" t="str">
        <f t="shared" si="219"/>
        <v/>
      </c>
      <c r="SN19" t="str">
        <f t="shared" si="220"/>
        <v/>
      </c>
      <c r="SO19" t="str">
        <f t="shared" si="221"/>
        <v/>
      </c>
      <c r="SP19" t="str">
        <f t="shared" si="222"/>
        <v/>
      </c>
    </row>
    <row r="20" spans="2:510" x14ac:dyDescent="0.3">
      <c r="B20" t="s">
        <v>33</v>
      </c>
      <c r="C20" cm="1" vm="16">
        <f t="array" aca="1" ref="C20" ca="1">INDEX(_xlfn.ANCHORARRAY(G20),D20)</f>
        <v>76.040000000000006</v>
      </c>
      <c r="D20">
        <f t="shared" ca="1" si="223"/>
        <v>19</v>
      </c>
      <c r="F20" t="s">
        <v>34</v>
      </c>
      <c r="G20" cm="1" vm="37">
        <f t="array" aca="1" ref="G20:Y20" ca="1">TRANSPOSE(_xlfn.STOCKHISTORY(F20,$H$4,G$4,0,0,1))</f>
        <v>77.97</v>
      </c>
      <c r="H20" vm="58">
        <f ca="1"/>
        <v>78.86</v>
      </c>
      <c r="I20" vm="79">
        <f ca="1"/>
        <v>79.510000000000005</v>
      </c>
      <c r="J20" vm="99">
        <f ca="1"/>
        <v>80.25</v>
      </c>
      <c r="K20" vm="120">
        <f ca="1"/>
        <v>79.27</v>
      </c>
      <c r="L20" vm="141">
        <f ca="1"/>
        <v>77.8</v>
      </c>
      <c r="M20" vm="162">
        <f ca="1"/>
        <v>78.25</v>
      </c>
      <c r="N20" vm="183">
        <f ca="1"/>
        <v>77.55</v>
      </c>
      <c r="O20" vm="204">
        <f ca="1"/>
        <v>76</v>
      </c>
      <c r="P20" vm="225">
        <f ca="1"/>
        <v>76.95</v>
      </c>
      <c r="Q20" vm="246">
        <f ca="1"/>
        <v>78.42</v>
      </c>
      <c r="R20" vm="267">
        <f ca="1"/>
        <v>78.11</v>
      </c>
      <c r="S20" vm="288">
        <f ca="1"/>
        <v>78.02</v>
      </c>
      <c r="T20" vm="288">
        <f ca="1"/>
        <v>78.02</v>
      </c>
      <c r="U20" vm="329">
        <f ca="1"/>
        <v>78.16</v>
      </c>
      <c r="V20" vm="350">
        <f ca="1"/>
        <v>77.790000000000006</v>
      </c>
      <c r="W20" vm="370">
        <f ca="1"/>
        <v>77.41</v>
      </c>
      <c r="X20" vm="391">
        <f ca="1"/>
        <v>77.03</v>
      </c>
      <c r="Y20" vm="16">
        <f ca="1"/>
        <v>76.040000000000006</v>
      </c>
      <c r="KB20" t="str">
        <f t="shared" si="0"/>
        <v/>
      </c>
      <c r="KC20" t="str">
        <f t="shared" si="1"/>
        <v/>
      </c>
      <c r="KD20" t="str">
        <f t="shared" si="2"/>
        <v/>
      </c>
      <c r="KE20" t="str">
        <f t="shared" si="3"/>
        <v/>
      </c>
      <c r="KF20" t="str">
        <f t="shared" si="4"/>
        <v/>
      </c>
      <c r="KG20" t="str">
        <f t="shared" si="5"/>
        <v/>
      </c>
      <c r="KH20" t="str">
        <f t="shared" si="6"/>
        <v/>
      </c>
      <c r="KI20" t="str">
        <f t="shared" si="7"/>
        <v/>
      </c>
      <c r="KJ20" t="str">
        <f t="shared" si="8"/>
        <v/>
      </c>
      <c r="KK20" t="str">
        <f t="shared" si="9"/>
        <v/>
      </c>
      <c r="KL20" t="str">
        <f t="shared" si="10"/>
        <v/>
      </c>
      <c r="KM20" t="str">
        <f t="shared" si="11"/>
        <v/>
      </c>
      <c r="KN20" t="str">
        <f t="shared" si="12"/>
        <v/>
      </c>
      <c r="KO20" t="str">
        <f t="shared" si="13"/>
        <v/>
      </c>
      <c r="KP20" t="str">
        <f t="shared" si="14"/>
        <v/>
      </c>
      <c r="KQ20" t="str">
        <f t="shared" si="15"/>
        <v/>
      </c>
      <c r="KR20" t="str">
        <f t="shared" si="16"/>
        <v/>
      </c>
      <c r="KS20" t="str">
        <f t="shared" si="17"/>
        <v/>
      </c>
      <c r="KT20" t="str">
        <f t="shared" si="18"/>
        <v/>
      </c>
      <c r="KU20" t="str">
        <f t="shared" si="19"/>
        <v/>
      </c>
      <c r="KV20" t="str">
        <f t="shared" si="20"/>
        <v/>
      </c>
      <c r="KW20" t="str">
        <f t="shared" si="21"/>
        <v/>
      </c>
      <c r="KX20" t="str">
        <f t="shared" si="22"/>
        <v/>
      </c>
      <c r="KY20" t="str">
        <f t="shared" si="23"/>
        <v/>
      </c>
      <c r="KZ20" t="str">
        <f t="shared" si="24"/>
        <v/>
      </c>
      <c r="LA20" t="str">
        <f t="shared" si="25"/>
        <v/>
      </c>
      <c r="LB20" t="str">
        <f t="shared" si="26"/>
        <v/>
      </c>
      <c r="LC20" t="str">
        <f t="shared" si="27"/>
        <v/>
      </c>
      <c r="LD20" t="str">
        <f t="shared" si="28"/>
        <v/>
      </c>
      <c r="LE20" t="str">
        <f t="shared" si="29"/>
        <v/>
      </c>
      <c r="LF20" t="str">
        <f t="shared" si="30"/>
        <v/>
      </c>
      <c r="LG20" t="str">
        <f t="shared" si="31"/>
        <v/>
      </c>
      <c r="LH20" t="str">
        <f t="shared" si="32"/>
        <v/>
      </c>
      <c r="LI20" t="str">
        <f t="shared" si="33"/>
        <v/>
      </c>
      <c r="LJ20" t="str">
        <f t="shared" si="34"/>
        <v/>
      </c>
      <c r="LK20" t="str">
        <f t="shared" si="35"/>
        <v/>
      </c>
      <c r="LL20" t="str">
        <f t="shared" si="36"/>
        <v/>
      </c>
      <c r="LM20" t="str">
        <f t="shared" si="37"/>
        <v/>
      </c>
      <c r="LN20" t="str">
        <f t="shared" si="38"/>
        <v/>
      </c>
      <c r="LO20" t="str">
        <f t="shared" si="39"/>
        <v/>
      </c>
      <c r="LP20" t="str">
        <f t="shared" si="40"/>
        <v/>
      </c>
      <c r="LQ20" t="str">
        <f t="shared" si="41"/>
        <v/>
      </c>
      <c r="LR20" t="str">
        <f t="shared" si="42"/>
        <v/>
      </c>
      <c r="LS20" t="str">
        <f t="shared" si="43"/>
        <v/>
      </c>
      <c r="LT20" t="str">
        <f t="shared" si="44"/>
        <v/>
      </c>
      <c r="LU20" t="str">
        <f t="shared" si="45"/>
        <v/>
      </c>
      <c r="LV20" t="str">
        <f t="shared" si="46"/>
        <v/>
      </c>
      <c r="LW20" t="str">
        <f t="shared" si="47"/>
        <v/>
      </c>
      <c r="LX20" t="str">
        <f t="shared" si="48"/>
        <v/>
      </c>
      <c r="LY20" t="str">
        <f t="shared" si="49"/>
        <v/>
      </c>
      <c r="LZ20" t="str">
        <f t="shared" si="50"/>
        <v/>
      </c>
      <c r="MA20" t="str">
        <f t="shared" si="51"/>
        <v/>
      </c>
      <c r="MB20" t="str">
        <f t="shared" si="52"/>
        <v/>
      </c>
      <c r="MC20" t="str">
        <f t="shared" si="53"/>
        <v/>
      </c>
      <c r="MD20" t="str">
        <f t="shared" si="54"/>
        <v/>
      </c>
      <c r="ME20" t="str">
        <f t="shared" si="55"/>
        <v/>
      </c>
      <c r="MF20" t="str">
        <f t="shared" si="56"/>
        <v/>
      </c>
      <c r="MG20" t="str">
        <f t="shared" si="57"/>
        <v/>
      </c>
      <c r="MH20" t="str">
        <f t="shared" si="58"/>
        <v/>
      </c>
      <c r="MI20" t="str">
        <f t="shared" si="59"/>
        <v/>
      </c>
      <c r="MJ20" t="str">
        <f t="shared" si="60"/>
        <v/>
      </c>
      <c r="MK20" t="str">
        <f t="shared" si="61"/>
        <v/>
      </c>
      <c r="ML20" t="str">
        <f t="shared" si="62"/>
        <v/>
      </c>
      <c r="MM20" t="str">
        <f t="shared" si="63"/>
        <v/>
      </c>
      <c r="MN20" t="str">
        <f t="shared" si="64"/>
        <v/>
      </c>
      <c r="MO20" t="str">
        <f t="shared" si="65"/>
        <v/>
      </c>
      <c r="MP20" t="str">
        <f t="shared" si="66"/>
        <v/>
      </c>
      <c r="MQ20" t="str">
        <f t="shared" si="67"/>
        <v/>
      </c>
      <c r="MR20" t="str">
        <f t="shared" si="68"/>
        <v/>
      </c>
      <c r="MS20" t="str">
        <f t="shared" si="69"/>
        <v/>
      </c>
      <c r="MT20" t="str">
        <f t="shared" si="70"/>
        <v/>
      </c>
      <c r="MU20" t="str">
        <f t="shared" si="71"/>
        <v/>
      </c>
      <c r="MV20" t="str">
        <f t="shared" si="72"/>
        <v/>
      </c>
      <c r="MW20" t="str">
        <f t="shared" si="73"/>
        <v/>
      </c>
      <c r="MX20" t="str">
        <f t="shared" si="74"/>
        <v/>
      </c>
      <c r="MY20" t="str">
        <f t="shared" si="75"/>
        <v/>
      </c>
      <c r="MZ20" t="str">
        <f t="shared" si="76"/>
        <v/>
      </c>
      <c r="NA20" t="str">
        <f t="shared" si="77"/>
        <v/>
      </c>
      <c r="NB20" t="str">
        <f t="shared" si="78"/>
        <v/>
      </c>
      <c r="NC20" t="str">
        <f t="shared" si="79"/>
        <v/>
      </c>
      <c r="ND20" t="str">
        <f t="shared" si="80"/>
        <v/>
      </c>
      <c r="NE20" t="str">
        <f t="shared" si="81"/>
        <v/>
      </c>
      <c r="NF20" t="str">
        <f t="shared" si="82"/>
        <v/>
      </c>
      <c r="NG20" t="str">
        <f t="shared" si="83"/>
        <v/>
      </c>
      <c r="NH20" t="str">
        <f t="shared" si="84"/>
        <v/>
      </c>
      <c r="NI20" t="str">
        <f t="shared" si="85"/>
        <v/>
      </c>
      <c r="NJ20" t="str">
        <f t="shared" si="86"/>
        <v/>
      </c>
      <c r="NK20" t="str">
        <f t="shared" si="87"/>
        <v/>
      </c>
      <c r="NL20" t="str">
        <f t="shared" si="88"/>
        <v/>
      </c>
      <c r="NM20" t="str">
        <f t="shared" si="89"/>
        <v/>
      </c>
      <c r="NN20" t="str">
        <f t="shared" si="90"/>
        <v/>
      </c>
      <c r="NO20" t="str">
        <f t="shared" si="91"/>
        <v/>
      </c>
      <c r="NP20" t="str">
        <f t="shared" si="92"/>
        <v/>
      </c>
      <c r="NQ20" t="str">
        <f t="shared" si="93"/>
        <v/>
      </c>
      <c r="NR20" t="str">
        <f t="shared" si="94"/>
        <v/>
      </c>
      <c r="NS20" t="str">
        <f t="shared" si="95"/>
        <v/>
      </c>
      <c r="NT20" t="str">
        <f t="shared" si="96"/>
        <v/>
      </c>
      <c r="NU20" t="str">
        <f t="shared" si="97"/>
        <v/>
      </c>
      <c r="NV20" t="str">
        <f t="shared" si="98"/>
        <v/>
      </c>
      <c r="NW20" t="str">
        <f t="shared" si="99"/>
        <v/>
      </c>
      <c r="NX20" t="str">
        <f t="shared" si="100"/>
        <v/>
      </c>
      <c r="NY20" t="str">
        <f t="shared" si="101"/>
        <v/>
      </c>
      <c r="NZ20" t="str">
        <f t="shared" si="102"/>
        <v/>
      </c>
      <c r="OA20" t="str">
        <f t="shared" si="103"/>
        <v/>
      </c>
      <c r="OB20" t="str">
        <f t="shared" si="104"/>
        <v/>
      </c>
      <c r="OC20" t="str">
        <f t="shared" si="105"/>
        <v/>
      </c>
      <c r="OD20" t="str">
        <f t="shared" si="106"/>
        <v/>
      </c>
      <c r="OE20" t="str">
        <f t="shared" si="107"/>
        <v/>
      </c>
      <c r="OF20" t="str">
        <f t="shared" si="108"/>
        <v/>
      </c>
      <c r="OG20" t="str">
        <f t="shared" si="109"/>
        <v/>
      </c>
      <c r="OH20" t="str">
        <f t="shared" si="110"/>
        <v/>
      </c>
      <c r="OI20" t="str">
        <f t="shared" si="111"/>
        <v/>
      </c>
      <c r="OJ20" t="str">
        <f t="shared" si="112"/>
        <v/>
      </c>
      <c r="OK20" t="str">
        <f t="shared" si="113"/>
        <v/>
      </c>
      <c r="OL20" t="str">
        <f t="shared" si="114"/>
        <v/>
      </c>
      <c r="OM20" t="str">
        <f t="shared" si="115"/>
        <v/>
      </c>
      <c r="ON20" t="str">
        <f t="shared" si="116"/>
        <v/>
      </c>
      <c r="OO20" t="str">
        <f t="shared" si="117"/>
        <v/>
      </c>
      <c r="OP20" t="str">
        <f t="shared" si="118"/>
        <v/>
      </c>
      <c r="OQ20" t="str">
        <f t="shared" si="119"/>
        <v/>
      </c>
      <c r="OR20" t="str">
        <f t="shared" si="120"/>
        <v/>
      </c>
      <c r="OS20" t="str">
        <f t="shared" si="121"/>
        <v/>
      </c>
      <c r="OT20" t="str">
        <f t="shared" si="122"/>
        <v/>
      </c>
      <c r="OU20" t="str">
        <f t="shared" si="123"/>
        <v/>
      </c>
      <c r="OV20" t="str">
        <f t="shared" si="124"/>
        <v/>
      </c>
      <c r="OW20" t="str">
        <f t="shared" si="125"/>
        <v/>
      </c>
      <c r="OX20" t="str">
        <f t="shared" si="126"/>
        <v/>
      </c>
      <c r="OY20" t="str">
        <f t="shared" si="127"/>
        <v/>
      </c>
      <c r="OZ20" t="str">
        <f t="shared" si="128"/>
        <v/>
      </c>
      <c r="PA20" t="str">
        <f t="shared" si="129"/>
        <v/>
      </c>
      <c r="PB20" t="str">
        <f t="shared" si="130"/>
        <v/>
      </c>
      <c r="PC20" t="str">
        <f t="shared" si="131"/>
        <v/>
      </c>
      <c r="PD20" t="str">
        <f t="shared" si="132"/>
        <v/>
      </c>
      <c r="PE20" t="str">
        <f t="shared" si="133"/>
        <v/>
      </c>
      <c r="PF20" t="str">
        <f t="shared" si="134"/>
        <v/>
      </c>
      <c r="PG20" t="str">
        <f t="shared" si="135"/>
        <v/>
      </c>
      <c r="PH20" t="str">
        <f t="shared" si="136"/>
        <v/>
      </c>
      <c r="PI20" t="str">
        <f t="shared" si="137"/>
        <v/>
      </c>
      <c r="PJ20" t="str">
        <f t="shared" si="138"/>
        <v/>
      </c>
      <c r="PK20" t="str">
        <f t="shared" si="139"/>
        <v/>
      </c>
      <c r="PL20" t="str">
        <f t="shared" si="140"/>
        <v/>
      </c>
      <c r="PM20" t="str">
        <f t="shared" si="141"/>
        <v/>
      </c>
      <c r="PN20" t="str">
        <f t="shared" si="142"/>
        <v/>
      </c>
      <c r="PO20" t="str">
        <f t="shared" si="143"/>
        <v/>
      </c>
      <c r="PP20" t="str">
        <f t="shared" si="144"/>
        <v/>
      </c>
      <c r="PQ20" t="str">
        <f t="shared" si="145"/>
        <v/>
      </c>
      <c r="PR20" t="str">
        <f t="shared" si="146"/>
        <v/>
      </c>
      <c r="PS20" t="str">
        <f t="shared" si="147"/>
        <v/>
      </c>
      <c r="PT20" t="str">
        <f t="shared" si="148"/>
        <v/>
      </c>
      <c r="PU20" t="str">
        <f t="shared" si="149"/>
        <v/>
      </c>
      <c r="PV20" t="str">
        <f t="shared" si="150"/>
        <v/>
      </c>
      <c r="PW20" t="str">
        <f t="shared" si="151"/>
        <v/>
      </c>
      <c r="PX20" t="str">
        <f t="shared" si="152"/>
        <v/>
      </c>
      <c r="PY20" t="str">
        <f t="shared" si="153"/>
        <v/>
      </c>
      <c r="PZ20" t="str">
        <f t="shared" si="154"/>
        <v/>
      </c>
      <c r="QA20" t="str">
        <f t="shared" si="155"/>
        <v/>
      </c>
      <c r="QB20" t="str">
        <f t="shared" si="156"/>
        <v/>
      </c>
      <c r="QC20" t="str">
        <f t="shared" si="157"/>
        <v/>
      </c>
      <c r="QD20" t="str">
        <f t="shared" si="158"/>
        <v/>
      </c>
      <c r="QE20" t="str">
        <f t="shared" si="159"/>
        <v/>
      </c>
      <c r="QF20" t="str">
        <f t="shared" si="160"/>
        <v/>
      </c>
      <c r="QG20" t="str">
        <f t="shared" si="161"/>
        <v/>
      </c>
      <c r="QH20" t="str">
        <f t="shared" si="162"/>
        <v/>
      </c>
      <c r="QI20" t="str">
        <f t="shared" si="163"/>
        <v/>
      </c>
      <c r="QJ20" t="str">
        <f t="shared" si="164"/>
        <v/>
      </c>
      <c r="QK20" t="str">
        <f t="shared" si="165"/>
        <v/>
      </c>
      <c r="QL20" t="str">
        <f t="shared" si="166"/>
        <v/>
      </c>
      <c r="QM20" t="str">
        <f t="shared" si="167"/>
        <v/>
      </c>
      <c r="QN20" t="str">
        <f t="shared" si="168"/>
        <v/>
      </c>
      <c r="QO20" t="str">
        <f t="shared" si="169"/>
        <v/>
      </c>
      <c r="QP20" t="str">
        <f t="shared" si="170"/>
        <v/>
      </c>
      <c r="QQ20" t="str">
        <f t="shared" si="171"/>
        <v/>
      </c>
      <c r="QR20" t="str">
        <f t="shared" si="172"/>
        <v/>
      </c>
      <c r="QS20" t="str">
        <f t="shared" si="173"/>
        <v/>
      </c>
      <c r="QT20" t="str">
        <f t="shared" si="174"/>
        <v/>
      </c>
      <c r="QU20" t="str">
        <f t="shared" si="175"/>
        <v/>
      </c>
      <c r="QV20" t="str">
        <f t="shared" si="176"/>
        <v/>
      </c>
      <c r="QW20" t="str">
        <f t="shared" si="177"/>
        <v/>
      </c>
      <c r="QX20" t="str">
        <f t="shared" si="178"/>
        <v/>
      </c>
      <c r="QY20" t="str">
        <f t="shared" si="179"/>
        <v/>
      </c>
      <c r="QZ20" t="str">
        <f t="shared" si="180"/>
        <v/>
      </c>
      <c r="RA20" t="str">
        <f t="shared" si="181"/>
        <v/>
      </c>
      <c r="RB20" t="str">
        <f t="shared" si="182"/>
        <v/>
      </c>
      <c r="RC20" t="str">
        <f t="shared" si="183"/>
        <v/>
      </c>
      <c r="RD20" t="str">
        <f t="shared" si="184"/>
        <v/>
      </c>
      <c r="RE20" t="str">
        <f t="shared" si="185"/>
        <v/>
      </c>
      <c r="RF20" t="str">
        <f t="shared" si="186"/>
        <v/>
      </c>
      <c r="RG20" t="str">
        <f t="shared" si="187"/>
        <v/>
      </c>
      <c r="RH20" t="str">
        <f t="shared" si="188"/>
        <v/>
      </c>
      <c r="RI20" t="str">
        <f t="shared" si="189"/>
        <v/>
      </c>
      <c r="RJ20" t="str">
        <f t="shared" si="190"/>
        <v/>
      </c>
      <c r="RK20" t="str">
        <f t="shared" si="191"/>
        <v/>
      </c>
      <c r="RL20" t="str">
        <f t="shared" si="192"/>
        <v/>
      </c>
      <c r="RM20" t="str">
        <f t="shared" si="193"/>
        <v/>
      </c>
      <c r="RN20" t="str">
        <f t="shared" si="194"/>
        <v/>
      </c>
      <c r="RO20" t="str">
        <f t="shared" si="195"/>
        <v/>
      </c>
      <c r="RP20" t="str">
        <f t="shared" si="196"/>
        <v/>
      </c>
      <c r="RQ20" t="str">
        <f t="shared" si="197"/>
        <v/>
      </c>
      <c r="RR20" t="str">
        <f t="shared" si="198"/>
        <v/>
      </c>
      <c r="RS20" t="str">
        <f t="shared" si="199"/>
        <v/>
      </c>
      <c r="RT20" t="str">
        <f t="shared" si="200"/>
        <v/>
      </c>
      <c r="RU20" t="str">
        <f t="shared" si="201"/>
        <v/>
      </c>
      <c r="RV20" t="str">
        <f t="shared" si="202"/>
        <v/>
      </c>
      <c r="RW20" t="str">
        <f t="shared" si="203"/>
        <v/>
      </c>
      <c r="RX20" t="str">
        <f t="shared" si="204"/>
        <v/>
      </c>
      <c r="RY20" t="str">
        <f t="shared" si="205"/>
        <v/>
      </c>
      <c r="RZ20" t="str">
        <f t="shared" si="206"/>
        <v/>
      </c>
      <c r="SA20" t="str">
        <f t="shared" si="207"/>
        <v/>
      </c>
      <c r="SB20" t="str">
        <f t="shared" si="208"/>
        <v/>
      </c>
      <c r="SC20" t="str">
        <f t="shared" si="209"/>
        <v/>
      </c>
      <c r="SD20" t="str">
        <f t="shared" si="210"/>
        <v/>
      </c>
      <c r="SE20" t="str">
        <f t="shared" si="211"/>
        <v/>
      </c>
      <c r="SF20" t="str">
        <f t="shared" si="212"/>
        <v/>
      </c>
      <c r="SG20" t="str">
        <f t="shared" si="213"/>
        <v/>
      </c>
      <c r="SH20" t="str">
        <f t="shared" si="214"/>
        <v/>
      </c>
      <c r="SI20" t="str">
        <f t="shared" si="215"/>
        <v/>
      </c>
      <c r="SJ20" t="str">
        <f t="shared" si="216"/>
        <v/>
      </c>
      <c r="SK20" t="str">
        <f t="shared" si="217"/>
        <v/>
      </c>
      <c r="SL20" t="str">
        <f t="shared" si="218"/>
        <v/>
      </c>
      <c r="SM20" t="str">
        <f t="shared" si="219"/>
        <v/>
      </c>
      <c r="SN20" t="str">
        <f t="shared" si="220"/>
        <v/>
      </c>
      <c r="SO20" t="str">
        <f t="shared" si="221"/>
        <v/>
      </c>
      <c r="SP20" t="str">
        <f t="shared" si="222"/>
        <v/>
      </c>
    </row>
    <row r="21" spans="2:510" x14ac:dyDescent="0.3">
      <c r="B21" t="s">
        <v>35</v>
      </c>
      <c r="C21" cm="1" vm="17">
        <f t="array" aca="1" ref="C21" ca="1">INDEX(_xlfn.ANCHORARRAY(G21),D21)</f>
        <v>91.57</v>
      </c>
      <c r="D21">
        <f t="shared" ca="1" si="223"/>
        <v>19</v>
      </c>
      <c r="F21" t="s">
        <v>36</v>
      </c>
      <c r="G21" cm="1" vm="38">
        <f t="array" aca="1" ref="G21:Y21" ca="1">TRANSPOSE(_xlfn.STOCKHISTORY(F21,$H$4,G$4,0,0,1))</f>
        <v>90.18</v>
      </c>
      <c r="H21" vm="59">
        <f ca="1"/>
        <v>91.28</v>
      </c>
      <c r="I21" vm="80">
        <f ca="1"/>
        <v>89.82</v>
      </c>
      <c r="J21" vm="100">
        <f ca="1"/>
        <v>91.51</v>
      </c>
      <c r="K21" vm="121">
        <f ca="1"/>
        <v>90.29</v>
      </c>
      <c r="L21" vm="142">
        <f ca="1"/>
        <v>89.83</v>
      </c>
      <c r="M21" vm="163">
        <f ca="1"/>
        <v>91.56</v>
      </c>
      <c r="N21" vm="184">
        <f ca="1"/>
        <v>91.35</v>
      </c>
      <c r="O21" vm="205">
        <f ca="1"/>
        <v>89.86</v>
      </c>
      <c r="P21" vm="226">
        <f ca="1"/>
        <v>90.61</v>
      </c>
      <c r="Q21" vm="247">
        <f ca="1"/>
        <v>91.36</v>
      </c>
      <c r="R21" vm="268">
        <f ca="1"/>
        <v>91.55</v>
      </c>
      <c r="S21" vm="289">
        <f ca="1"/>
        <v>92.14</v>
      </c>
      <c r="T21" vm="309">
        <f ca="1"/>
        <v>92.45</v>
      </c>
      <c r="U21" vm="330">
        <f ca="1"/>
        <v>92.9</v>
      </c>
      <c r="V21" vm="351">
        <f ca="1"/>
        <v>92.52</v>
      </c>
      <c r="W21" vm="371">
        <f ca="1"/>
        <v>92.51</v>
      </c>
      <c r="X21" vm="392">
        <f ca="1"/>
        <v>91.93</v>
      </c>
      <c r="Y21" vm="17">
        <f ca="1"/>
        <v>91.57</v>
      </c>
      <c r="KB21" t="str">
        <f t="shared" si="0"/>
        <v/>
      </c>
      <c r="KC21" t="str">
        <f t="shared" si="1"/>
        <v/>
      </c>
      <c r="KD21" t="str">
        <f t="shared" si="2"/>
        <v/>
      </c>
      <c r="KE21" t="str">
        <f t="shared" si="3"/>
        <v/>
      </c>
      <c r="KF21" t="str">
        <f t="shared" si="4"/>
        <v/>
      </c>
      <c r="KG21" t="str">
        <f t="shared" si="5"/>
        <v/>
      </c>
      <c r="KH21" t="str">
        <f t="shared" si="6"/>
        <v/>
      </c>
      <c r="KI21" t="str">
        <f t="shared" si="7"/>
        <v/>
      </c>
      <c r="KJ21" t="str">
        <f t="shared" si="8"/>
        <v/>
      </c>
      <c r="KK21" t="str">
        <f t="shared" si="9"/>
        <v/>
      </c>
      <c r="KL21" t="str">
        <f t="shared" si="10"/>
        <v/>
      </c>
      <c r="KM21" t="str">
        <f t="shared" si="11"/>
        <v/>
      </c>
      <c r="KN21" t="str">
        <f t="shared" si="12"/>
        <v/>
      </c>
      <c r="KO21" t="str">
        <f t="shared" si="13"/>
        <v/>
      </c>
      <c r="KP21" t="str">
        <f t="shared" si="14"/>
        <v/>
      </c>
      <c r="KQ21" t="str">
        <f t="shared" si="15"/>
        <v/>
      </c>
      <c r="KR21" t="str">
        <f t="shared" si="16"/>
        <v/>
      </c>
      <c r="KS21" t="str">
        <f t="shared" si="17"/>
        <v/>
      </c>
      <c r="KT21" t="str">
        <f t="shared" si="18"/>
        <v/>
      </c>
      <c r="KU21" t="str">
        <f t="shared" si="19"/>
        <v/>
      </c>
      <c r="KV21" t="str">
        <f t="shared" si="20"/>
        <v/>
      </c>
      <c r="KW21" t="str">
        <f t="shared" si="21"/>
        <v/>
      </c>
      <c r="KX21" t="str">
        <f t="shared" si="22"/>
        <v/>
      </c>
      <c r="KY21" t="str">
        <f t="shared" si="23"/>
        <v/>
      </c>
      <c r="KZ21" t="str">
        <f t="shared" si="24"/>
        <v/>
      </c>
      <c r="LA21" t="str">
        <f t="shared" si="25"/>
        <v/>
      </c>
      <c r="LB21" t="str">
        <f t="shared" si="26"/>
        <v/>
      </c>
      <c r="LC21" t="str">
        <f t="shared" si="27"/>
        <v/>
      </c>
      <c r="LD21" t="str">
        <f t="shared" si="28"/>
        <v/>
      </c>
      <c r="LE21" t="str">
        <f t="shared" si="29"/>
        <v/>
      </c>
      <c r="LF21" t="str">
        <f t="shared" si="30"/>
        <v/>
      </c>
      <c r="LG21" t="str">
        <f t="shared" si="31"/>
        <v/>
      </c>
      <c r="LH21" t="str">
        <f t="shared" si="32"/>
        <v/>
      </c>
      <c r="LI21" t="str">
        <f t="shared" si="33"/>
        <v/>
      </c>
      <c r="LJ21" t="str">
        <f t="shared" si="34"/>
        <v/>
      </c>
      <c r="LK21" t="str">
        <f t="shared" si="35"/>
        <v/>
      </c>
      <c r="LL21" t="str">
        <f t="shared" si="36"/>
        <v/>
      </c>
      <c r="LM21" t="str">
        <f t="shared" si="37"/>
        <v/>
      </c>
      <c r="LN21" t="str">
        <f t="shared" si="38"/>
        <v/>
      </c>
      <c r="LO21" t="str">
        <f t="shared" si="39"/>
        <v/>
      </c>
      <c r="LP21" t="str">
        <f t="shared" si="40"/>
        <v/>
      </c>
      <c r="LQ21" t="str">
        <f t="shared" si="41"/>
        <v/>
      </c>
      <c r="LR21" t="str">
        <f t="shared" si="42"/>
        <v/>
      </c>
      <c r="LS21" t="str">
        <f t="shared" si="43"/>
        <v/>
      </c>
      <c r="LT21" t="str">
        <f t="shared" si="44"/>
        <v/>
      </c>
      <c r="LU21" t="str">
        <f t="shared" si="45"/>
        <v/>
      </c>
      <c r="LV21" t="str">
        <f t="shared" si="46"/>
        <v/>
      </c>
      <c r="LW21" t="str">
        <f t="shared" si="47"/>
        <v/>
      </c>
      <c r="LX21" t="str">
        <f t="shared" si="48"/>
        <v/>
      </c>
      <c r="LY21" t="str">
        <f t="shared" si="49"/>
        <v/>
      </c>
      <c r="LZ21" t="str">
        <f t="shared" si="50"/>
        <v/>
      </c>
      <c r="MA21" t="str">
        <f t="shared" si="51"/>
        <v/>
      </c>
      <c r="MB21" t="str">
        <f t="shared" si="52"/>
        <v/>
      </c>
      <c r="MC21" t="str">
        <f t="shared" si="53"/>
        <v/>
      </c>
      <c r="MD21" t="str">
        <f t="shared" si="54"/>
        <v/>
      </c>
      <c r="ME21" t="str">
        <f t="shared" si="55"/>
        <v/>
      </c>
      <c r="MF21" t="str">
        <f t="shared" si="56"/>
        <v/>
      </c>
      <c r="MG21" t="str">
        <f t="shared" si="57"/>
        <v/>
      </c>
      <c r="MH21" t="str">
        <f t="shared" si="58"/>
        <v/>
      </c>
      <c r="MI21" t="str">
        <f t="shared" si="59"/>
        <v/>
      </c>
      <c r="MJ21" t="str">
        <f t="shared" si="60"/>
        <v/>
      </c>
      <c r="MK21" t="str">
        <f t="shared" si="61"/>
        <v/>
      </c>
      <c r="ML21" t="str">
        <f t="shared" si="62"/>
        <v/>
      </c>
      <c r="MM21" t="str">
        <f t="shared" si="63"/>
        <v/>
      </c>
      <c r="MN21" t="str">
        <f t="shared" si="64"/>
        <v/>
      </c>
      <c r="MO21" t="str">
        <f t="shared" si="65"/>
        <v/>
      </c>
      <c r="MP21" t="str">
        <f t="shared" si="66"/>
        <v/>
      </c>
      <c r="MQ21" t="str">
        <f t="shared" si="67"/>
        <v/>
      </c>
      <c r="MR21" t="str">
        <f t="shared" si="68"/>
        <v/>
      </c>
      <c r="MS21" t="str">
        <f t="shared" si="69"/>
        <v/>
      </c>
      <c r="MT21" t="str">
        <f t="shared" si="70"/>
        <v/>
      </c>
      <c r="MU21" t="str">
        <f t="shared" si="71"/>
        <v/>
      </c>
      <c r="MV21" t="str">
        <f t="shared" si="72"/>
        <v/>
      </c>
      <c r="MW21" t="str">
        <f t="shared" si="73"/>
        <v/>
      </c>
      <c r="MX21" t="str">
        <f t="shared" si="74"/>
        <v/>
      </c>
      <c r="MY21" t="str">
        <f t="shared" si="75"/>
        <v/>
      </c>
      <c r="MZ21" t="str">
        <f t="shared" si="76"/>
        <v/>
      </c>
      <c r="NA21" t="str">
        <f t="shared" si="77"/>
        <v/>
      </c>
      <c r="NB21" t="str">
        <f t="shared" si="78"/>
        <v/>
      </c>
      <c r="NC21" t="str">
        <f t="shared" si="79"/>
        <v/>
      </c>
      <c r="ND21" t="str">
        <f t="shared" si="80"/>
        <v/>
      </c>
      <c r="NE21" t="str">
        <f t="shared" si="81"/>
        <v/>
      </c>
      <c r="NF21" t="str">
        <f t="shared" si="82"/>
        <v/>
      </c>
      <c r="NG21" t="str">
        <f t="shared" si="83"/>
        <v/>
      </c>
      <c r="NH21" t="str">
        <f t="shared" si="84"/>
        <v/>
      </c>
      <c r="NI21" t="str">
        <f t="shared" si="85"/>
        <v/>
      </c>
      <c r="NJ21" t="str">
        <f t="shared" si="86"/>
        <v/>
      </c>
      <c r="NK21" t="str">
        <f t="shared" si="87"/>
        <v/>
      </c>
      <c r="NL21" t="str">
        <f t="shared" si="88"/>
        <v/>
      </c>
      <c r="NM21" t="str">
        <f t="shared" si="89"/>
        <v/>
      </c>
      <c r="NN21" t="str">
        <f t="shared" si="90"/>
        <v/>
      </c>
      <c r="NO21" t="str">
        <f t="shared" si="91"/>
        <v/>
      </c>
      <c r="NP21" t="str">
        <f t="shared" si="92"/>
        <v/>
      </c>
      <c r="NQ21" t="str">
        <f t="shared" si="93"/>
        <v/>
      </c>
      <c r="NR21" t="str">
        <f t="shared" si="94"/>
        <v/>
      </c>
      <c r="NS21" t="str">
        <f t="shared" si="95"/>
        <v/>
      </c>
      <c r="NT21" t="str">
        <f t="shared" si="96"/>
        <v/>
      </c>
      <c r="NU21" t="str">
        <f t="shared" si="97"/>
        <v/>
      </c>
      <c r="NV21" t="str">
        <f t="shared" si="98"/>
        <v/>
      </c>
      <c r="NW21" t="str">
        <f t="shared" si="99"/>
        <v/>
      </c>
      <c r="NX21" t="str">
        <f t="shared" si="100"/>
        <v/>
      </c>
      <c r="NY21" t="str">
        <f t="shared" si="101"/>
        <v/>
      </c>
      <c r="NZ21" t="str">
        <f t="shared" si="102"/>
        <v/>
      </c>
      <c r="OA21" t="str">
        <f t="shared" si="103"/>
        <v/>
      </c>
      <c r="OB21" t="str">
        <f t="shared" si="104"/>
        <v/>
      </c>
      <c r="OC21" t="str">
        <f t="shared" si="105"/>
        <v/>
      </c>
      <c r="OD21" t="str">
        <f t="shared" si="106"/>
        <v/>
      </c>
      <c r="OE21" t="str">
        <f t="shared" si="107"/>
        <v/>
      </c>
      <c r="OF21" t="str">
        <f t="shared" si="108"/>
        <v/>
      </c>
      <c r="OG21" t="str">
        <f t="shared" si="109"/>
        <v/>
      </c>
      <c r="OH21" t="str">
        <f t="shared" si="110"/>
        <v/>
      </c>
      <c r="OI21" t="str">
        <f t="shared" si="111"/>
        <v/>
      </c>
      <c r="OJ21" t="str">
        <f t="shared" si="112"/>
        <v/>
      </c>
      <c r="OK21" t="str">
        <f t="shared" si="113"/>
        <v/>
      </c>
      <c r="OL21" t="str">
        <f t="shared" si="114"/>
        <v/>
      </c>
      <c r="OM21" t="str">
        <f t="shared" si="115"/>
        <v/>
      </c>
      <c r="ON21" t="str">
        <f t="shared" si="116"/>
        <v/>
      </c>
      <c r="OO21" t="str">
        <f t="shared" si="117"/>
        <v/>
      </c>
      <c r="OP21" t="str">
        <f t="shared" si="118"/>
        <v/>
      </c>
      <c r="OQ21" t="str">
        <f t="shared" si="119"/>
        <v/>
      </c>
      <c r="OR21" t="str">
        <f t="shared" si="120"/>
        <v/>
      </c>
      <c r="OS21" t="str">
        <f t="shared" si="121"/>
        <v/>
      </c>
      <c r="OT21" t="str">
        <f t="shared" si="122"/>
        <v/>
      </c>
      <c r="OU21" t="str">
        <f t="shared" si="123"/>
        <v/>
      </c>
      <c r="OV21" t="str">
        <f t="shared" si="124"/>
        <v/>
      </c>
      <c r="OW21" t="str">
        <f t="shared" si="125"/>
        <v/>
      </c>
      <c r="OX21" t="str">
        <f t="shared" si="126"/>
        <v/>
      </c>
      <c r="OY21" t="str">
        <f t="shared" si="127"/>
        <v/>
      </c>
      <c r="OZ21" t="str">
        <f t="shared" si="128"/>
        <v/>
      </c>
      <c r="PA21" t="str">
        <f t="shared" si="129"/>
        <v/>
      </c>
      <c r="PB21" t="str">
        <f t="shared" si="130"/>
        <v/>
      </c>
      <c r="PC21" t="str">
        <f t="shared" si="131"/>
        <v/>
      </c>
      <c r="PD21" t="str">
        <f t="shared" si="132"/>
        <v/>
      </c>
      <c r="PE21" t="str">
        <f t="shared" si="133"/>
        <v/>
      </c>
      <c r="PF21" t="str">
        <f t="shared" si="134"/>
        <v/>
      </c>
      <c r="PG21" t="str">
        <f t="shared" si="135"/>
        <v/>
      </c>
      <c r="PH21" t="str">
        <f t="shared" si="136"/>
        <v/>
      </c>
      <c r="PI21" t="str">
        <f t="shared" si="137"/>
        <v/>
      </c>
      <c r="PJ21" t="str">
        <f t="shared" si="138"/>
        <v/>
      </c>
      <c r="PK21" t="str">
        <f t="shared" si="139"/>
        <v/>
      </c>
      <c r="PL21" t="str">
        <f t="shared" si="140"/>
        <v/>
      </c>
      <c r="PM21" t="str">
        <f t="shared" si="141"/>
        <v/>
      </c>
      <c r="PN21" t="str">
        <f t="shared" si="142"/>
        <v/>
      </c>
      <c r="PO21" t="str">
        <f t="shared" si="143"/>
        <v/>
      </c>
      <c r="PP21" t="str">
        <f t="shared" si="144"/>
        <v/>
      </c>
      <c r="PQ21" t="str">
        <f t="shared" si="145"/>
        <v/>
      </c>
      <c r="PR21" t="str">
        <f t="shared" si="146"/>
        <v/>
      </c>
      <c r="PS21" t="str">
        <f t="shared" si="147"/>
        <v/>
      </c>
      <c r="PT21" t="str">
        <f t="shared" si="148"/>
        <v/>
      </c>
      <c r="PU21" t="str">
        <f t="shared" si="149"/>
        <v/>
      </c>
      <c r="PV21" t="str">
        <f t="shared" si="150"/>
        <v/>
      </c>
      <c r="PW21" t="str">
        <f t="shared" si="151"/>
        <v/>
      </c>
      <c r="PX21" t="str">
        <f t="shared" si="152"/>
        <v/>
      </c>
      <c r="PY21" t="str">
        <f t="shared" si="153"/>
        <v/>
      </c>
      <c r="PZ21" t="str">
        <f t="shared" si="154"/>
        <v/>
      </c>
      <c r="QA21" t="str">
        <f t="shared" si="155"/>
        <v/>
      </c>
      <c r="QB21" t="str">
        <f t="shared" si="156"/>
        <v/>
      </c>
      <c r="QC21" t="str">
        <f t="shared" si="157"/>
        <v/>
      </c>
      <c r="QD21" t="str">
        <f t="shared" si="158"/>
        <v/>
      </c>
      <c r="QE21" t="str">
        <f t="shared" si="159"/>
        <v/>
      </c>
      <c r="QF21" t="str">
        <f t="shared" si="160"/>
        <v/>
      </c>
      <c r="QG21" t="str">
        <f t="shared" si="161"/>
        <v/>
      </c>
      <c r="QH21" t="str">
        <f t="shared" si="162"/>
        <v/>
      </c>
      <c r="QI21" t="str">
        <f t="shared" si="163"/>
        <v/>
      </c>
      <c r="QJ21" t="str">
        <f t="shared" si="164"/>
        <v/>
      </c>
      <c r="QK21" t="str">
        <f t="shared" si="165"/>
        <v/>
      </c>
      <c r="QL21" t="str">
        <f t="shared" si="166"/>
        <v/>
      </c>
      <c r="QM21" t="str">
        <f t="shared" si="167"/>
        <v/>
      </c>
      <c r="QN21" t="str">
        <f t="shared" si="168"/>
        <v/>
      </c>
      <c r="QO21" t="str">
        <f t="shared" si="169"/>
        <v/>
      </c>
      <c r="QP21" t="str">
        <f t="shared" si="170"/>
        <v/>
      </c>
      <c r="QQ21" t="str">
        <f t="shared" si="171"/>
        <v/>
      </c>
      <c r="QR21" t="str">
        <f t="shared" si="172"/>
        <v/>
      </c>
      <c r="QS21" t="str">
        <f t="shared" si="173"/>
        <v/>
      </c>
      <c r="QT21" t="str">
        <f t="shared" si="174"/>
        <v/>
      </c>
      <c r="QU21" t="str">
        <f t="shared" si="175"/>
        <v/>
      </c>
      <c r="QV21" t="str">
        <f t="shared" si="176"/>
        <v/>
      </c>
      <c r="QW21" t="str">
        <f t="shared" si="177"/>
        <v/>
      </c>
      <c r="QX21" t="str">
        <f t="shared" si="178"/>
        <v/>
      </c>
      <c r="QY21" t="str">
        <f t="shared" si="179"/>
        <v/>
      </c>
      <c r="QZ21" t="str">
        <f t="shared" si="180"/>
        <v/>
      </c>
      <c r="RA21" t="str">
        <f t="shared" si="181"/>
        <v/>
      </c>
      <c r="RB21" t="str">
        <f t="shared" si="182"/>
        <v/>
      </c>
      <c r="RC21" t="str">
        <f t="shared" si="183"/>
        <v/>
      </c>
      <c r="RD21" t="str">
        <f t="shared" si="184"/>
        <v/>
      </c>
      <c r="RE21" t="str">
        <f t="shared" si="185"/>
        <v/>
      </c>
      <c r="RF21" t="str">
        <f t="shared" si="186"/>
        <v/>
      </c>
      <c r="RG21" t="str">
        <f t="shared" si="187"/>
        <v/>
      </c>
      <c r="RH21" t="str">
        <f t="shared" si="188"/>
        <v/>
      </c>
      <c r="RI21" t="str">
        <f t="shared" si="189"/>
        <v/>
      </c>
      <c r="RJ21" t="str">
        <f t="shared" si="190"/>
        <v/>
      </c>
      <c r="RK21" t="str">
        <f t="shared" si="191"/>
        <v/>
      </c>
      <c r="RL21" t="str">
        <f t="shared" si="192"/>
        <v/>
      </c>
      <c r="RM21" t="str">
        <f t="shared" si="193"/>
        <v/>
      </c>
      <c r="RN21" t="str">
        <f t="shared" si="194"/>
        <v/>
      </c>
      <c r="RO21" t="str">
        <f t="shared" si="195"/>
        <v/>
      </c>
      <c r="RP21" t="str">
        <f t="shared" si="196"/>
        <v/>
      </c>
      <c r="RQ21" t="str">
        <f t="shared" si="197"/>
        <v/>
      </c>
      <c r="RR21" t="str">
        <f t="shared" si="198"/>
        <v/>
      </c>
      <c r="RS21" t="str">
        <f t="shared" si="199"/>
        <v/>
      </c>
      <c r="RT21" t="str">
        <f t="shared" si="200"/>
        <v/>
      </c>
      <c r="RU21" t="str">
        <f t="shared" si="201"/>
        <v/>
      </c>
      <c r="RV21" t="str">
        <f t="shared" si="202"/>
        <v/>
      </c>
      <c r="RW21" t="str">
        <f t="shared" si="203"/>
        <v/>
      </c>
      <c r="RX21" t="str">
        <f t="shared" si="204"/>
        <v/>
      </c>
      <c r="RY21" t="str">
        <f t="shared" si="205"/>
        <v/>
      </c>
      <c r="RZ21" t="str">
        <f t="shared" si="206"/>
        <v/>
      </c>
      <c r="SA21" t="str">
        <f t="shared" si="207"/>
        <v/>
      </c>
      <c r="SB21" t="str">
        <f t="shared" si="208"/>
        <v/>
      </c>
      <c r="SC21" t="str">
        <f t="shared" si="209"/>
        <v/>
      </c>
      <c r="SD21" t="str">
        <f t="shared" si="210"/>
        <v/>
      </c>
      <c r="SE21" t="str">
        <f t="shared" si="211"/>
        <v/>
      </c>
      <c r="SF21" t="str">
        <f t="shared" si="212"/>
        <v/>
      </c>
      <c r="SG21" t="str">
        <f t="shared" si="213"/>
        <v/>
      </c>
      <c r="SH21" t="str">
        <f t="shared" si="214"/>
        <v/>
      </c>
      <c r="SI21" t="str">
        <f t="shared" si="215"/>
        <v/>
      </c>
      <c r="SJ21" t="str">
        <f t="shared" si="216"/>
        <v/>
      </c>
      <c r="SK21" t="str">
        <f t="shared" si="217"/>
        <v/>
      </c>
      <c r="SL21" t="str">
        <f t="shared" si="218"/>
        <v/>
      </c>
      <c r="SM21" t="str">
        <f t="shared" si="219"/>
        <v/>
      </c>
      <c r="SN21" t="str">
        <f t="shared" si="220"/>
        <v/>
      </c>
      <c r="SO21" t="str">
        <f t="shared" si="221"/>
        <v/>
      </c>
      <c r="SP21" t="str">
        <f t="shared" si="222"/>
        <v/>
      </c>
    </row>
    <row r="22" spans="2:510" x14ac:dyDescent="0.3">
      <c r="B22" t="s">
        <v>37</v>
      </c>
      <c r="C22" cm="1" vm="18">
        <f t="array" aca="1" ref="C22" ca="1">INDEX(_xlfn.ANCHORARRAY(G22),D22)</f>
        <v>618.32000000000005</v>
      </c>
      <c r="D22">
        <f t="shared" ca="1" si="223"/>
        <v>19</v>
      </c>
      <c r="F22" t="s">
        <v>38</v>
      </c>
      <c r="G22" cm="1" vm="39">
        <f t="array" aca="1" ref="G22:Y22" ca="1">TRANSPOSE(_xlfn.STOCKHISTORY(F22,$H$4,G$4,0,0,1))</f>
        <v>691.94</v>
      </c>
      <c r="H22" vm="60">
        <f ca="1"/>
        <v>689.76</v>
      </c>
      <c r="I22" vm="81">
        <f ca="1"/>
        <v>724.62</v>
      </c>
      <c r="J22" vm="101">
        <f ca="1"/>
        <v>703.28</v>
      </c>
      <c r="K22" vm="122">
        <f ca="1"/>
        <v>716.98</v>
      </c>
      <c r="L22" vm="143">
        <f ca="1"/>
        <v>670.67</v>
      </c>
      <c r="M22" vm="164">
        <f ca="1"/>
        <v>675.16499999999996</v>
      </c>
      <c r="N22" vm="185">
        <f ca="1"/>
        <v>677.3</v>
      </c>
      <c r="O22" vm="206">
        <f ca="1"/>
        <v>657.13</v>
      </c>
      <c r="P22" vm="227">
        <f ca="1"/>
        <v>694.37</v>
      </c>
      <c r="Q22" vm="248">
        <f ca="1"/>
        <v>721.37</v>
      </c>
      <c r="R22" vm="269">
        <f ca="1"/>
        <v>733.6</v>
      </c>
      <c r="S22" vm="290">
        <f ca="1"/>
        <v>728.45</v>
      </c>
      <c r="T22" vm="310">
        <f ca="1"/>
        <v>727.5</v>
      </c>
      <c r="U22" vm="331">
        <f ca="1"/>
        <v>714.23</v>
      </c>
      <c r="V22" vm="352">
        <f ca="1"/>
        <v>698.82</v>
      </c>
      <c r="W22" vm="372">
        <f ca="1"/>
        <v>693.71</v>
      </c>
      <c r="X22" vm="393">
        <f ca="1"/>
        <v>673.82</v>
      </c>
      <c r="Y22" vm="18">
        <f ca="1"/>
        <v>618.32000000000005</v>
      </c>
      <c r="KB22" t="str">
        <f t="shared" si="0"/>
        <v/>
      </c>
      <c r="KC22" t="str">
        <f t="shared" si="1"/>
        <v/>
      </c>
      <c r="KD22" t="str">
        <f t="shared" si="2"/>
        <v/>
      </c>
      <c r="KE22" t="str">
        <f t="shared" si="3"/>
        <v/>
      </c>
      <c r="KF22" t="str">
        <f t="shared" si="4"/>
        <v/>
      </c>
      <c r="KG22" t="str">
        <f t="shared" si="5"/>
        <v/>
      </c>
      <c r="KH22" t="str">
        <f t="shared" si="6"/>
        <v/>
      </c>
      <c r="KI22" t="str">
        <f t="shared" si="7"/>
        <v/>
      </c>
      <c r="KJ22" t="str">
        <f t="shared" si="8"/>
        <v/>
      </c>
      <c r="KK22" t="str">
        <f t="shared" si="9"/>
        <v/>
      </c>
      <c r="KL22" t="str">
        <f t="shared" si="10"/>
        <v/>
      </c>
      <c r="KM22" t="str">
        <f t="shared" si="11"/>
        <v/>
      </c>
      <c r="KN22" t="str">
        <f t="shared" si="12"/>
        <v/>
      </c>
      <c r="KO22" t="str">
        <f t="shared" si="13"/>
        <v/>
      </c>
      <c r="KP22" t="str">
        <f t="shared" si="14"/>
        <v/>
      </c>
      <c r="KQ22" t="str">
        <f t="shared" si="15"/>
        <v/>
      </c>
      <c r="KR22" t="str">
        <f t="shared" si="16"/>
        <v/>
      </c>
      <c r="KS22" t="str">
        <f t="shared" si="17"/>
        <v/>
      </c>
      <c r="KT22" t="str">
        <f t="shared" si="18"/>
        <v/>
      </c>
      <c r="KU22" t="str">
        <f t="shared" si="19"/>
        <v/>
      </c>
      <c r="KV22" t="str">
        <f t="shared" si="20"/>
        <v/>
      </c>
      <c r="KW22" t="str">
        <f t="shared" si="21"/>
        <v/>
      </c>
      <c r="KX22" t="str">
        <f t="shared" si="22"/>
        <v/>
      </c>
      <c r="KY22" t="str">
        <f t="shared" si="23"/>
        <v/>
      </c>
      <c r="KZ22" t="str">
        <f t="shared" si="24"/>
        <v/>
      </c>
      <c r="LA22" t="str">
        <f t="shared" si="25"/>
        <v/>
      </c>
      <c r="LB22" t="str">
        <f t="shared" si="26"/>
        <v/>
      </c>
      <c r="LC22" t="str">
        <f t="shared" si="27"/>
        <v/>
      </c>
      <c r="LD22" t="str">
        <f t="shared" si="28"/>
        <v/>
      </c>
      <c r="LE22" t="str">
        <f t="shared" si="29"/>
        <v/>
      </c>
      <c r="LF22" t="str">
        <f t="shared" si="30"/>
        <v/>
      </c>
      <c r="LG22" t="str">
        <f t="shared" si="31"/>
        <v/>
      </c>
      <c r="LH22" t="str">
        <f t="shared" si="32"/>
        <v/>
      </c>
      <c r="LI22" t="str">
        <f t="shared" si="33"/>
        <v/>
      </c>
      <c r="LJ22" t="str">
        <f t="shared" si="34"/>
        <v/>
      </c>
      <c r="LK22" t="str">
        <f t="shared" si="35"/>
        <v/>
      </c>
      <c r="LL22" t="str">
        <f t="shared" si="36"/>
        <v/>
      </c>
      <c r="LM22" t="str">
        <f t="shared" si="37"/>
        <v/>
      </c>
      <c r="LN22" t="str">
        <f t="shared" si="38"/>
        <v/>
      </c>
      <c r="LO22" t="str">
        <f t="shared" si="39"/>
        <v/>
      </c>
      <c r="LP22" t="str">
        <f t="shared" si="40"/>
        <v/>
      </c>
      <c r="LQ22" t="str">
        <f t="shared" si="41"/>
        <v/>
      </c>
      <c r="LR22" t="str">
        <f t="shared" si="42"/>
        <v/>
      </c>
      <c r="LS22" t="str">
        <f t="shared" si="43"/>
        <v/>
      </c>
      <c r="LT22" t="str">
        <f t="shared" si="44"/>
        <v/>
      </c>
      <c r="LU22" t="str">
        <f t="shared" si="45"/>
        <v/>
      </c>
      <c r="LV22" t="str">
        <f t="shared" si="46"/>
        <v/>
      </c>
      <c r="LW22" t="str">
        <f t="shared" si="47"/>
        <v/>
      </c>
      <c r="LX22" t="str">
        <f t="shared" si="48"/>
        <v/>
      </c>
      <c r="LY22" t="str">
        <f t="shared" si="49"/>
        <v/>
      </c>
      <c r="LZ22" t="str">
        <f t="shared" si="50"/>
        <v/>
      </c>
      <c r="MA22" t="str">
        <f t="shared" si="51"/>
        <v/>
      </c>
      <c r="MB22" t="str">
        <f t="shared" si="52"/>
        <v/>
      </c>
      <c r="MC22" t="str">
        <f t="shared" si="53"/>
        <v/>
      </c>
      <c r="MD22" t="str">
        <f t="shared" si="54"/>
        <v/>
      </c>
      <c r="ME22" t="str">
        <f t="shared" si="55"/>
        <v/>
      </c>
      <c r="MF22" t="str">
        <f t="shared" si="56"/>
        <v/>
      </c>
      <c r="MG22" t="str">
        <f t="shared" si="57"/>
        <v/>
      </c>
      <c r="MH22" t="str">
        <f t="shared" si="58"/>
        <v/>
      </c>
      <c r="MI22" t="str">
        <f t="shared" si="59"/>
        <v/>
      </c>
      <c r="MJ22" t="str">
        <f t="shared" si="60"/>
        <v/>
      </c>
      <c r="MK22" t="str">
        <f t="shared" si="61"/>
        <v/>
      </c>
      <c r="ML22" t="str">
        <f t="shared" si="62"/>
        <v/>
      </c>
      <c r="MM22" t="str">
        <f t="shared" si="63"/>
        <v/>
      </c>
      <c r="MN22" t="str">
        <f t="shared" si="64"/>
        <v/>
      </c>
      <c r="MO22" t="str">
        <f t="shared" si="65"/>
        <v/>
      </c>
      <c r="MP22" t="str">
        <f t="shared" si="66"/>
        <v/>
      </c>
      <c r="MQ22" t="str">
        <f t="shared" si="67"/>
        <v/>
      </c>
      <c r="MR22" t="str">
        <f t="shared" si="68"/>
        <v/>
      </c>
      <c r="MS22" t="str">
        <f t="shared" si="69"/>
        <v/>
      </c>
      <c r="MT22" t="str">
        <f t="shared" si="70"/>
        <v/>
      </c>
      <c r="MU22" t="str">
        <f t="shared" si="71"/>
        <v/>
      </c>
      <c r="MV22" t="str">
        <f t="shared" si="72"/>
        <v/>
      </c>
      <c r="MW22" t="str">
        <f t="shared" si="73"/>
        <v/>
      </c>
      <c r="MX22" t="str">
        <f t="shared" si="74"/>
        <v/>
      </c>
      <c r="MY22" t="str">
        <f t="shared" si="75"/>
        <v/>
      </c>
      <c r="MZ22" t="str">
        <f t="shared" si="76"/>
        <v/>
      </c>
      <c r="NA22" t="str">
        <f t="shared" si="77"/>
        <v/>
      </c>
      <c r="NB22" t="str">
        <f t="shared" si="78"/>
        <v/>
      </c>
      <c r="NC22" t="str">
        <f t="shared" si="79"/>
        <v/>
      </c>
      <c r="ND22" t="str">
        <f t="shared" si="80"/>
        <v/>
      </c>
      <c r="NE22" t="str">
        <f t="shared" si="81"/>
        <v/>
      </c>
      <c r="NF22" t="str">
        <f t="shared" si="82"/>
        <v/>
      </c>
      <c r="NG22" t="str">
        <f t="shared" si="83"/>
        <v/>
      </c>
      <c r="NH22" t="str">
        <f t="shared" si="84"/>
        <v/>
      </c>
      <c r="NI22" t="str">
        <f t="shared" si="85"/>
        <v/>
      </c>
      <c r="NJ22" t="str">
        <f t="shared" si="86"/>
        <v/>
      </c>
      <c r="NK22" t="str">
        <f t="shared" si="87"/>
        <v/>
      </c>
      <c r="NL22" t="str">
        <f t="shared" si="88"/>
        <v/>
      </c>
      <c r="NM22" t="str">
        <f t="shared" si="89"/>
        <v/>
      </c>
      <c r="NN22" t="str">
        <f t="shared" si="90"/>
        <v/>
      </c>
      <c r="NO22" t="str">
        <f t="shared" si="91"/>
        <v/>
      </c>
      <c r="NP22" t="str">
        <f t="shared" si="92"/>
        <v/>
      </c>
      <c r="NQ22" t="str">
        <f t="shared" si="93"/>
        <v/>
      </c>
      <c r="NR22" t="str">
        <f t="shared" si="94"/>
        <v/>
      </c>
      <c r="NS22" t="str">
        <f t="shared" si="95"/>
        <v/>
      </c>
      <c r="NT22" t="str">
        <f t="shared" si="96"/>
        <v/>
      </c>
      <c r="NU22" t="str">
        <f t="shared" si="97"/>
        <v/>
      </c>
      <c r="NV22" t="str">
        <f t="shared" si="98"/>
        <v/>
      </c>
      <c r="NW22" t="str">
        <f t="shared" si="99"/>
        <v/>
      </c>
      <c r="NX22" t="str">
        <f t="shared" si="100"/>
        <v/>
      </c>
      <c r="NY22" t="str">
        <f t="shared" si="101"/>
        <v/>
      </c>
      <c r="NZ22" t="str">
        <f t="shared" si="102"/>
        <v/>
      </c>
      <c r="OA22" t="str">
        <f t="shared" si="103"/>
        <v/>
      </c>
      <c r="OB22" t="str">
        <f t="shared" si="104"/>
        <v/>
      </c>
      <c r="OC22" t="str">
        <f t="shared" si="105"/>
        <v/>
      </c>
      <c r="OD22" t="str">
        <f t="shared" si="106"/>
        <v/>
      </c>
      <c r="OE22" t="str">
        <f t="shared" si="107"/>
        <v/>
      </c>
      <c r="OF22" t="str">
        <f t="shared" si="108"/>
        <v/>
      </c>
      <c r="OG22" t="str">
        <f t="shared" si="109"/>
        <v/>
      </c>
      <c r="OH22" t="str">
        <f t="shared" si="110"/>
        <v/>
      </c>
      <c r="OI22" t="str">
        <f t="shared" si="111"/>
        <v/>
      </c>
      <c r="OJ22" t="str">
        <f t="shared" si="112"/>
        <v/>
      </c>
      <c r="OK22" t="str">
        <f t="shared" si="113"/>
        <v/>
      </c>
      <c r="OL22" t="str">
        <f t="shared" si="114"/>
        <v/>
      </c>
      <c r="OM22" t="str">
        <f t="shared" si="115"/>
        <v/>
      </c>
      <c r="ON22" t="str">
        <f t="shared" si="116"/>
        <v/>
      </c>
      <c r="OO22" t="str">
        <f t="shared" si="117"/>
        <v/>
      </c>
      <c r="OP22" t="str">
        <f t="shared" si="118"/>
        <v/>
      </c>
      <c r="OQ22" t="str">
        <f t="shared" si="119"/>
        <v/>
      </c>
      <c r="OR22" t="str">
        <f t="shared" si="120"/>
        <v/>
      </c>
      <c r="OS22" t="str">
        <f t="shared" si="121"/>
        <v/>
      </c>
      <c r="OT22" t="str">
        <f t="shared" si="122"/>
        <v/>
      </c>
      <c r="OU22" t="str">
        <f t="shared" si="123"/>
        <v/>
      </c>
      <c r="OV22" t="str">
        <f t="shared" si="124"/>
        <v/>
      </c>
      <c r="OW22" t="str">
        <f t="shared" si="125"/>
        <v/>
      </c>
      <c r="OX22" t="str">
        <f t="shared" si="126"/>
        <v/>
      </c>
      <c r="OY22" t="str">
        <f t="shared" si="127"/>
        <v/>
      </c>
      <c r="OZ22" t="str">
        <f t="shared" si="128"/>
        <v/>
      </c>
      <c r="PA22" t="str">
        <f t="shared" si="129"/>
        <v/>
      </c>
      <c r="PB22" t="str">
        <f t="shared" si="130"/>
        <v/>
      </c>
      <c r="PC22" t="str">
        <f t="shared" si="131"/>
        <v/>
      </c>
      <c r="PD22" t="str">
        <f t="shared" si="132"/>
        <v/>
      </c>
      <c r="PE22" t="str">
        <f t="shared" si="133"/>
        <v/>
      </c>
      <c r="PF22" t="str">
        <f t="shared" si="134"/>
        <v/>
      </c>
      <c r="PG22" t="str">
        <f t="shared" si="135"/>
        <v/>
      </c>
      <c r="PH22" t="str">
        <f t="shared" si="136"/>
        <v/>
      </c>
      <c r="PI22" t="str">
        <f t="shared" si="137"/>
        <v/>
      </c>
      <c r="PJ22" t="str">
        <f t="shared" si="138"/>
        <v/>
      </c>
      <c r="PK22" t="str">
        <f t="shared" si="139"/>
        <v/>
      </c>
      <c r="PL22" t="str">
        <f t="shared" si="140"/>
        <v/>
      </c>
      <c r="PM22" t="str">
        <f t="shared" si="141"/>
        <v/>
      </c>
      <c r="PN22" t="str">
        <f t="shared" si="142"/>
        <v/>
      </c>
      <c r="PO22" t="str">
        <f t="shared" si="143"/>
        <v/>
      </c>
      <c r="PP22" t="str">
        <f t="shared" si="144"/>
        <v/>
      </c>
      <c r="PQ22" t="str">
        <f t="shared" si="145"/>
        <v/>
      </c>
      <c r="PR22" t="str">
        <f t="shared" si="146"/>
        <v/>
      </c>
      <c r="PS22" t="str">
        <f t="shared" si="147"/>
        <v/>
      </c>
      <c r="PT22" t="str">
        <f t="shared" si="148"/>
        <v/>
      </c>
      <c r="PU22" t="str">
        <f t="shared" si="149"/>
        <v/>
      </c>
      <c r="PV22" t="str">
        <f t="shared" si="150"/>
        <v/>
      </c>
      <c r="PW22" t="str">
        <f t="shared" si="151"/>
        <v/>
      </c>
      <c r="PX22" t="str">
        <f t="shared" si="152"/>
        <v/>
      </c>
      <c r="PY22" t="str">
        <f t="shared" si="153"/>
        <v/>
      </c>
      <c r="PZ22" t="str">
        <f t="shared" si="154"/>
        <v/>
      </c>
      <c r="QA22" t="str">
        <f t="shared" si="155"/>
        <v/>
      </c>
      <c r="QB22" t="str">
        <f t="shared" si="156"/>
        <v/>
      </c>
      <c r="QC22" t="str">
        <f t="shared" si="157"/>
        <v/>
      </c>
      <c r="QD22" t="str">
        <f t="shared" si="158"/>
        <v/>
      </c>
      <c r="QE22" t="str">
        <f t="shared" si="159"/>
        <v/>
      </c>
      <c r="QF22" t="str">
        <f t="shared" si="160"/>
        <v/>
      </c>
      <c r="QG22" t="str">
        <f t="shared" si="161"/>
        <v/>
      </c>
      <c r="QH22" t="str">
        <f t="shared" si="162"/>
        <v/>
      </c>
      <c r="QI22" t="str">
        <f t="shared" si="163"/>
        <v/>
      </c>
      <c r="QJ22" t="str">
        <f t="shared" si="164"/>
        <v/>
      </c>
      <c r="QK22" t="str">
        <f t="shared" si="165"/>
        <v/>
      </c>
      <c r="QL22" t="str">
        <f t="shared" si="166"/>
        <v/>
      </c>
      <c r="QM22" t="str">
        <f t="shared" si="167"/>
        <v/>
      </c>
      <c r="QN22" t="str">
        <f t="shared" si="168"/>
        <v/>
      </c>
      <c r="QO22" t="str">
        <f t="shared" si="169"/>
        <v/>
      </c>
      <c r="QP22" t="str">
        <f t="shared" si="170"/>
        <v/>
      </c>
      <c r="QQ22" t="str">
        <f t="shared" si="171"/>
        <v/>
      </c>
      <c r="QR22" t="str">
        <f t="shared" si="172"/>
        <v/>
      </c>
      <c r="QS22" t="str">
        <f t="shared" si="173"/>
        <v/>
      </c>
      <c r="QT22" t="str">
        <f t="shared" si="174"/>
        <v/>
      </c>
      <c r="QU22" t="str">
        <f t="shared" si="175"/>
        <v/>
      </c>
      <c r="QV22" t="str">
        <f t="shared" si="176"/>
        <v/>
      </c>
      <c r="QW22" t="str">
        <f t="shared" si="177"/>
        <v/>
      </c>
      <c r="QX22" t="str">
        <f t="shared" si="178"/>
        <v/>
      </c>
      <c r="QY22" t="str">
        <f t="shared" si="179"/>
        <v/>
      </c>
      <c r="QZ22" t="str">
        <f t="shared" si="180"/>
        <v/>
      </c>
      <c r="RA22" t="str">
        <f t="shared" si="181"/>
        <v/>
      </c>
      <c r="RB22" t="str">
        <f t="shared" si="182"/>
        <v/>
      </c>
      <c r="RC22" t="str">
        <f t="shared" si="183"/>
        <v/>
      </c>
      <c r="RD22" t="str">
        <f t="shared" si="184"/>
        <v/>
      </c>
      <c r="RE22" t="str">
        <f t="shared" si="185"/>
        <v/>
      </c>
      <c r="RF22" t="str">
        <f t="shared" si="186"/>
        <v/>
      </c>
      <c r="RG22" t="str">
        <f t="shared" si="187"/>
        <v/>
      </c>
      <c r="RH22" t="str">
        <f t="shared" si="188"/>
        <v/>
      </c>
      <c r="RI22" t="str">
        <f t="shared" si="189"/>
        <v/>
      </c>
      <c r="RJ22" t="str">
        <f t="shared" si="190"/>
        <v/>
      </c>
      <c r="RK22" t="str">
        <f t="shared" si="191"/>
        <v/>
      </c>
      <c r="RL22" t="str">
        <f t="shared" si="192"/>
        <v/>
      </c>
      <c r="RM22" t="str">
        <f t="shared" si="193"/>
        <v/>
      </c>
      <c r="RN22" t="str">
        <f t="shared" si="194"/>
        <v/>
      </c>
      <c r="RO22" t="str">
        <f t="shared" si="195"/>
        <v/>
      </c>
      <c r="RP22" t="str">
        <f t="shared" si="196"/>
        <v/>
      </c>
      <c r="RQ22" t="str">
        <f t="shared" si="197"/>
        <v/>
      </c>
      <c r="RR22" t="str">
        <f t="shared" si="198"/>
        <v/>
      </c>
      <c r="RS22" t="str">
        <f t="shared" si="199"/>
        <v/>
      </c>
      <c r="RT22" t="str">
        <f t="shared" si="200"/>
        <v/>
      </c>
      <c r="RU22" t="str">
        <f t="shared" si="201"/>
        <v/>
      </c>
      <c r="RV22" t="str">
        <f t="shared" si="202"/>
        <v/>
      </c>
      <c r="RW22" t="str">
        <f t="shared" si="203"/>
        <v/>
      </c>
      <c r="RX22" t="str">
        <f t="shared" si="204"/>
        <v/>
      </c>
      <c r="RY22" t="str">
        <f t="shared" si="205"/>
        <v/>
      </c>
      <c r="RZ22" t="str">
        <f t="shared" si="206"/>
        <v/>
      </c>
      <c r="SA22" t="str">
        <f t="shared" si="207"/>
        <v/>
      </c>
      <c r="SB22" t="str">
        <f t="shared" si="208"/>
        <v/>
      </c>
      <c r="SC22" t="str">
        <f t="shared" si="209"/>
        <v/>
      </c>
      <c r="SD22" t="str">
        <f t="shared" si="210"/>
        <v/>
      </c>
      <c r="SE22" t="str">
        <f t="shared" si="211"/>
        <v/>
      </c>
      <c r="SF22" t="str">
        <f t="shared" si="212"/>
        <v/>
      </c>
      <c r="SG22" t="str">
        <f t="shared" si="213"/>
        <v/>
      </c>
      <c r="SH22" t="str">
        <f t="shared" si="214"/>
        <v/>
      </c>
      <c r="SI22" t="str">
        <f t="shared" si="215"/>
        <v/>
      </c>
      <c r="SJ22" t="str">
        <f t="shared" si="216"/>
        <v/>
      </c>
      <c r="SK22" t="str">
        <f t="shared" si="217"/>
        <v/>
      </c>
      <c r="SL22" t="str">
        <f t="shared" si="218"/>
        <v/>
      </c>
      <c r="SM22" t="str">
        <f t="shared" si="219"/>
        <v/>
      </c>
      <c r="SN22" t="str">
        <f t="shared" si="220"/>
        <v/>
      </c>
      <c r="SO22" t="str">
        <f t="shared" si="221"/>
        <v/>
      </c>
      <c r="SP22" t="str">
        <f t="shared" si="222"/>
        <v/>
      </c>
    </row>
    <row r="23" spans="2:510" x14ac:dyDescent="0.3">
      <c r="B23" t="s">
        <v>39</v>
      </c>
      <c r="C23" cm="1" vm="19">
        <f t="array" aca="1" ref="C23" ca="1">INDEX(_xlfn.ANCHORARRAY(G23),D23)</f>
        <v>199.58</v>
      </c>
      <c r="D23">
        <f t="shared" ca="1" si="223"/>
        <v>19</v>
      </c>
      <c r="F23" t="s">
        <v>40</v>
      </c>
      <c r="G23" cm="1" vm="40">
        <f t="array" aca="1" ref="G23:Y23" ca="1">TRANSPOSE(_xlfn.STOCKHISTORY(F23,$H$4,G$4,0,0,1))</f>
        <v>209.63</v>
      </c>
      <c r="H23" vm="61">
        <f ca="1"/>
        <v>204.44</v>
      </c>
      <c r="I23" vm="82">
        <f ca="1"/>
        <v>201.35</v>
      </c>
      <c r="J23" vm="102">
        <f ca="1"/>
        <v>195.32</v>
      </c>
      <c r="K23" vm="123">
        <f ca="1"/>
        <v>195.33</v>
      </c>
      <c r="L23" vm="144">
        <f ca="1"/>
        <v>195.16</v>
      </c>
      <c r="M23" vm="165">
        <f ca="1"/>
        <v>196.16</v>
      </c>
      <c r="N23" vm="186">
        <f ca="1"/>
        <v>198</v>
      </c>
      <c r="O23" vm="207">
        <f ca="1"/>
        <v>199.38</v>
      </c>
      <c r="P23" vm="228">
        <f ca="1"/>
        <v>200.27</v>
      </c>
      <c r="Q23" vm="249">
        <f ca="1"/>
        <v>196.73</v>
      </c>
      <c r="R23" vm="270">
        <f ca="1"/>
        <v>195.76</v>
      </c>
      <c r="S23" vm="291">
        <f ca="1"/>
        <v>197.67</v>
      </c>
      <c r="T23" vm="311">
        <f ca="1"/>
        <v>199.02</v>
      </c>
      <c r="U23" vm="332">
        <f ca="1"/>
        <v>201</v>
      </c>
      <c r="V23" vm="353">
        <f ca="1"/>
        <v>203.15</v>
      </c>
      <c r="W23" vm="373">
        <f ca="1"/>
        <v>203.8</v>
      </c>
      <c r="X23" vm="394">
        <f ca="1"/>
        <v>203.04</v>
      </c>
      <c r="Y23" vm="19">
        <f ca="1"/>
        <v>199.58</v>
      </c>
      <c r="KB23" t="str">
        <f t="shared" si="0"/>
        <v/>
      </c>
      <c r="KC23" t="str">
        <f t="shared" si="1"/>
        <v/>
      </c>
      <c r="KD23" t="str">
        <f t="shared" si="2"/>
        <v/>
      </c>
      <c r="KE23" t="str">
        <f t="shared" si="3"/>
        <v/>
      </c>
      <c r="KF23" t="str">
        <f t="shared" si="4"/>
        <v/>
      </c>
      <c r="KG23" t="str">
        <f t="shared" si="5"/>
        <v/>
      </c>
      <c r="KH23" t="str">
        <f t="shared" si="6"/>
        <v/>
      </c>
      <c r="KI23" t="str">
        <f t="shared" si="7"/>
        <v/>
      </c>
      <c r="KJ23" t="str">
        <f t="shared" si="8"/>
        <v/>
      </c>
      <c r="KK23" t="str">
        <f t="shared" si="9"/>
        <v/>
      </c>
      <c r="KL23" t="str">
        <f t="shared" si="10"/>
        <v/>
      </c>
      <c r="KM23" t="str">
        <f t="shared" si="11"/>
        <v/>
      </c>
      <c r="KN23" t="str">
        <f t="shared" si="12"/>
        <v/>
      </c>
      <c r="KO23" t="str">
        <f t="shared" si="13"/>
        <v/>
      </c>
      <c r="KP23" t="str">
        <f t="shared" si="14"/>
        <v/>
      </c>
      <c r="KQ23" t="str">
        <f t="shared" si="15"/>
        <v/>
      </c>
      <c r="KR23" t="str">
        <f t="shared" si="16"/>
        <v/>
      </c>
      <c r="KS23" t="str">
        <f t="shared" si="17"/>
        <v/>
      </c>
      <c r="KT23" t="str">
        <f t="shared" si="18"/>
        <v/>
      </c>
      <c r="KU23" t="str">
        <f t="shared" si="19"/>
        <v/>
      </c>
      <c r="KV23" t="str">
        <f t="shared" si="20"/>
        <v/>
      </c>
      <c r="KW23" t="str">
        <f t="shared" si="21"/>
        <v/>
      </c>
      <c r="KX23" t="str">
        <f t="shared" si="22"/>
        <v/>
      </c>
      <c r="KY23" t="str">
        <f t="shared" si="23"/>
        <v/>
      </c>
      <c r="KZ23" t="str">
        <f t="shared" si="24"/>
        <v/>
      </c>
      <c r="LA23" t="str">
        <f t="shared" si="25"/>
        <v/>
      </c>
      <c r="LB23" t="str">
        <f t="shared" si="26"/>
        <v/>
      </c>
      <c r="LC23" t="str">
        <f t="shared" si="27"/>
        <v/>
      </c>
      <c r="LD23" t="str">
        <f t="shared" si="28"/>
        <v/>
      </c>
      <c r="LE23" t="str">
        <f t="shared" si="29"/>
        <v/>
      </c>
      <c r="LF23" t="str">
        <f t="shared" si="30"/>
        <v/>
      </c>
      <c r="LG23" t="str">
        <f t="shared" si="31"/>
        <v/>
      </c>
      <c r="LH23" t="str">
        <f t="shared" si="32"/>
        <v/>
      </c>
      <c r="LI23" t="str">
        <f t="shared" si="33"/>
        <v/>
      </c>
      <c r="LJ23" t="str">
        <f t="shared" si="34"/>
        <v/>
      </c>
      <c r="LK23" t="str">
        <f t="shared" si="35"/>
        <v/>
      </c>
      <c r="LL23" t="str">
        <f t="shared" si="36"/>
        <v/>
      </c>
      <c r="LM23" t="str">
        <f t="shared" si="37"/>
        <v/>
      </c>
      <c r="LN23" t="str">
        <f t="shared" si="38"/>
        <v/>
      </c>
      <c r="LO23" t="str">
        <f t="shared" si="39"/>
        <v/>
      </c>
      <c r="LP23" t="str">
        <f t="shared" si="40"/>
        <v/>
      </c>
      <c r="LQ23" t="str">
        <f t="shared" si="41"/>
        <v/>
      </c>
      <c r="LR23" t="str">
        <f t="shared" si="42"/>
        <v/>
      </c>
      <c r="LS23" t="str">
        <f t="shared" si="43"/>
        <v/>
      </c>
      <c r="LT23" t="str">
        <f t="shared" si="44"/>
        <v/>
      </c>
      <c r="LU23" t="str">
        <f t="shared" si="45"/>
        <v/>
      </c>
      <c r="LV23" t="str">
        <f t="shared" si="46"/>
        <v/>
      </c>
      <c r="LW23" t="str">
        <f t="shared" si="47"/>
        <v/>
      </c>
      <c r="LX23" t="str">
        <f t="shared" si="48"/>
        <v/>
      </c>
      <c r="LY23" t="str">
        <f t="shared" si="49"/>
        <v/>
      </c>
      <c r="LZ23" t="str">
        <f t="shared" si="50"/>
        <v/>
      </c>
      <c r="MA23" t="str">
        <f t="shared" si="51"/>
        <v/>
      </c>
      <c r="MB23" t="str">
        <f t="shared" si="52"/>
        <v/>
      </c>
      <c r="MC23" t="str">
        <f t="shared" si="53"/>
        <v/>
      </c>
      <c r="MD23" t="str">
        <f t="shared" si="54"/>
        <v/>
      </c>
      <c r="ME23" t="str">
        <f t="shared" si="55"/>
        <v/>
      </c>
      <c r="MF23" t="str">
        <f t="shared" si="56"/>
        <v/>
      </c>
      <c r="MG23" t="str">
        <f t="shared" si="57"/>
        <v/>
      </c>
      <c r="MH23" t="str">
        <f t="shared" si="58"/>
        <v/>
      </c>
      <c r="MI23" t="str">
        <f t="shared" si="59"/>
        <v/>
      </c>
      <c r="MJ23" t="str">
        <f t="shared" si="60"/>
        <v/>
      </c>
      <c r="MK23" t="str">
        <f t="shared" si="61"/>
        <v/>
      </c>
      <c r="ML23" t="str">
        <f t="shared" si="62"/>
        <v/>
      </c>
      <c r="MM23" t="str">
        <f t="shared" si="63"/>
        <v/>
      </c>
      <c r="MN23" t="str">
        <f t="shared" si="64"/>
        <v/>
      </c>
      <c r="MO23" t="str">
        <f t="shared" si="65"/>
        <v/>
      </c>
      <c r="MP23" t="str">
        <f t="shared" si="66"/>
        <v/>
      </c>
      <c r="MQ23" t="str">
        <f t="shared" si="67"/>
        <v/>
      </c>
      <c r="MR23" t="str">
        <f t="shared" si="68"/>
        <v/>
      </c>
      <c r="MS23" t="str">
        <f t="shared" si="69"/>
        <v/>
      </c>
      <c r="MT23" t="str">
        <f t="shared" si="70"/>
        <v/>
      </c>
      <c r="MU23" t="str">
        <f t="shared" si="71"/>
        <v/>
      </c>
      <c r="MV23" t="str">
        <f t="shared" si="72"/>
        <v/>
      </c>
      <c r="MW23" t="str">
        <f t="shared" si="73"/>
        <v/>
      </c>
      <c r="MX23" t="str">
        <f t="shared" si="74"/>
        <v/>
      </c>
      <c r="MY23" t="str">
        <f t="shared" si="75"/>
        <v/>
      </c>
      <c r="MZ23" t="str">
        <f t="shared" si="76"/>
        <v/>
      </c>
      <c r="NA23" t="str">
        <f t="shared" si="77"/>
        <v/>
      </c>
      <c r="NB23" t="str">
        <f t="shared" si="78"/>
        <v/>
      </c>
      <c r="NC23" t="str">
        <f t="shared" si="79"/>
        <v/>
      </c>
      <c r="ND23" t="str">
        <f t="shared" si="80"/>
        <v/>
      </c>
      <c r="NE23" t="str">
        <f t="shared" si="81"/>
        <v/>
      </c>
      <c r="NF23" t="str">
        <f t="shared" si="82"/>
        <v/>
      </c>
      <c r="NG23" t="str">
        <f t="shared" si="83"/>
        <v/>
      </c>
      <c r="NH23" t="str">
        <f t="shared" si="84"/>
        <v/>
      </c>
      <c r="NI23" t="str">
        <f t="shared" si="85"/>
        <v/>
      </c>
      <c r="NJ23" t="str">
        <f t="shared" si="86"/>
        <v/>
      </c>
      <c r="NK23" t="str">
        <f t="shared" si="87"/>
        <v/>
      </c>
      <c r="NL23" t="str">
        <f t="shared" si="88"/>
        <v/>
      </c>
      <c r="NM23" t="str">
        <f t="shared" si="89"/>
        <v/>
      </c>
      <c r="NN23" t="str">
        <f t="shared" si="90"/>
        <v/>
      </c>
      <c r="NO23" t="str">
        <f t="shared" si="91"/>
        <v/>
      </c>
      <c r="NP23" t="str">
        <f t="shared" si="92"/>
        <v/>
      </c>
      <c r="NQ23" t="str">
        <f t="shared" si="93"/>
        <v/>
      </c>
      <c r="NR23" t="str">
        <f t="shared" si="94"/>
        <v/>
      </c>
      <c r="NS23" t="str">
        <f t="shared" si="95"/>
        <v/>
      </c>
      <c r="NT23" t="str">
        <f t="shared" si="96"/>
        <v/>
      </c>
      <c r="NU23" t="str">
        <f t="shared" si="97"/>
        <v/>
      </c>
      <c r="NV23" t="str">
        <f t="shared" si="98"/>
        <v/>
      </c>
      <c r="NW23" t="str">
        <f t="shared" si="99"/>
        <v/>
      </c>
      <c r="NX23" t="str">
        <f t="shared" si="100"/>
        <v/>
      </c>
      <c r="NY23" t="str">
        <f t="shared" si="101"/>
        <v/>
      </c>
      <c r="NZ23" t="str">
        <f t="shared" si="102"/>
        <v/>
      </c>
      <c r="OA23" t="str">
        <f t="shared" si="103"/>
        <v/>
      </c>
      <c r="OB23" t="str">
        <f t="shared" si="104"/>
        <v/>
      </c>
      <c r="OC23" t="str">
        <f t="shared" si="105"/>
        <v/>
      </c>
      <c r="OD23" t="str">
        <f t="shared" si="106"/>
        <v/>
      </c>
      <c r="OE23" t="str">
        <f t="shared" si="107"/>
        <v/>
      </c>
      <c r="OF23" t="str">
        <f t="shared" si="108"/>
        <v/>
      </c>
      <c r="OG23" t="str">
        <f t="shared" si="109"/>
        <v/>
      </c>
      <c r="OH23" t="str">
        <f t="shared" si="110"/>
        <v/>
      </c>
      <c r="OI23" t="str">
        <f t="shared" si="111"/>
        <v/>
      </c>
      <c r="OJ23" t="str">
        <f t="shared" si="112"/>
        <v/>
      </c>
      <c r="OK23" t="str">
        <f t="shared" si="113"/>
        <v/>
      </c>
      <c r="OL23" t="str">
        <f t="shared" si="114"/>
        <v/>
      </c>
      <c r="OM23" t="str">
        <f t="shared" si="115"/>
        <v/>
      </c>
      <c r="ON23" t="str">
        <f t="shared" si="116"/>
        <v/>
      </c>
      <c r="OO23" t="str">
        <f t="shared" si="117"/>
        <v/>
      </c>
      <c r="OP23" t="str">
        <f t="shared" si="118"/>
        <v/>
      </c>
      <c r="OQ23" t="str">
        <f t="shared" si="119"/>
        <v/>
      </c>
      <c r="OR23" t="str">
        <f t="shared" si="120"/>
        <v/>
      </c>
      <c r="OS23" t="str">
        <f t="shared" si="121"/>
        <v/>
      </c>
      <c r="OT23" t="str">
        <f t="shared" si="122"/>
        <v/>
      </c>
      <c r="OU23" t="str">
        <f t="shared" si="123"/>
        <v/>
      </c>
      <c r="OV23" t="str">
        <f t="shared" si="124"/>
        <v/>
      </c>
      <c r="OW23" t="str">
        <f t="shared" si="125"/>
        <v/>
      </c>
      <c r="OX23" t="str">
        <f t="shared" si="126"/>
        <v/>
      </c>
      <c r="OY23" t="str">
        <f t="shared" si="127"/>
        <v/>
      </c>
      <c r="OZ23" t="str">
        <f t="shared" si="128"/>
        <v/>
      </c>
      <c r="PA23" t="str">
        <f t="shared" si="129"/>
        <v/>
      </c>
      <c r="PB23" t="str">
        <f t="shared" si="130"/>
        <v/>
      </c>
      <c r="PC23" t="str">
        <f t="shared" si="131"/>
        <v/>
      </c>
      <c r="PD23" t="str">
        <f t="shared" si="132"/>
        <v/>
      </c>
      <c r="PE23" t="str">
        <f t="shared" si="133"/>
        <v/>
      </c>
      <c r="PF23" t="str">
        <f t="shared" si="134"/>
        <v/>
      </c>
      <c r="PG23" t="str">
        <f t="shared" si="135"/>
        <v/>
      </c>
      <c r="PH23" t="str">
        <f t="shared" si="136"/>
        <v/>
      </c>
      <c r="PI23" t="str">
        <f t="shared" si="137"/>
        <v/>
      </c>
      <c r="PJ23" t="str">
        <f t="shared" si="138"/>
        <v/>
      </c>
      <c r="PK23" t="str">
        <f t="shared" si="139"/>
        <v/>
      </c>
      <c r="PL23" t="str">
        <f t="shared" si="140"/>
        <v/>
      </c>
      <c r="PM23" t="str">
        <f t="shared" si="141"/>
        <v/>
      </c>
      <c r="PN23" t="str">
        <f t="shared" si="142"/>
        <v/>
      </c>
      <c r="PO23" t="str">
        <f t="shared" si="143"/>
        <v/>
      </c>
      <c r="PP23" t="str">
        <f t="shared" si="144"/>
        <v/>
      </c>
      <c r="PQ23" t="str">
        <f t="shared" si="145"/>
        <v/>
      </c>
      <c r="PR23" t="str">
        <f t="shared" si="146"/>
        <v/>
      </c>
      <c r="PS23" t="str">
        <f t="shared" si="147"/>
        <v/>
      </c>
      <c r="PT23" t="str">
        <f t="shared" si="148"/>
        <v/>
      </c>
      <c r="PU23" t="str">
        <f t="shared" si="149"/>
        <v/>
      </c>
      <c r="PV23" t="str">
        <f t="shared" si="150"/>
        <v/>
      </c>
      <c r="PW23" t="str">
        <f t="shared" si="151"/>
        <v/>
      </c>
      <c r="PX23" t="str">
        <f t="shared" si="152"/>
        <v/>
      </c>
      <c r="PY23" t="str">
        <f t="shared" si="153"/>
        <v/>
      </c>
      <c r="PZ23" t="str">
        <f t="shared" si="154"/>
        <v/>
      </c>
      <c r="QA23" t="str">
        <f t="shared" si="155"/>
        <v/>
      </c>
      <c r="QB23" t="str">
        <f t="shared" si="156"/>
        <v/>
      </c>
      <c r="QC23" t="str">
        <f t="shared" si="157"/>
        <v/>
      </c>
      <c r="QD23" t="str">
        <f t="shared" si="158"/>
        <v/>
      </c>
      <c r="QE23" t="str">
        <f t="shared" si="159"/>
        <v/>
      </c>
      <c r="QF23" t="str">
        <f t="shared" si="160"/>
        <v/>
      </c>
      <c r="QG23" t="str">
        <f t="shared" si="161"/>
        <v/>
      </c>
      <c r="QH23" t="str">
        <f t="shared" si="162"/>
        <v/>
      </c>
      <c r="QI23" t="str">
        <f t="shared" si="163"/>
        <v/>
      </c>
      <c r="QJ23" t="str">
        <f t="shared" si="164"/>
        <v/>
      </c>
      <c r="QK23" t="str">
        <f t="shared" si="165"/>
        <v/>
      </c>
      <c r="QL23" t="str">
        <f t="shared" si="166"/>
        <v/>
      </c>
      <c r="QM23" t="str">
        <f t="shared" si="167"/>
        <v/>
      </c>
      <c r="QN23" t="str">
        <f t="shared" si="168"/>
        <v/>
      </c>
      <c r="QO23" t="str">
        <f t="shared" si="169"/>
        <v/>
      </c>
      <c r="QP23" t="str">
        <f t="shared" si="170"/>
        <v/>
      </c>
      <c r="QQ23" t="str">
        <f t="shared" si="171"/>
        <v/>
      </c>
      <c r="QR23" t="str">
        <f t="shared" si="172"/>
        <v/>
      </c>
      <c r="QS23" t="str">
        <f t="shared" si="173"/>
        <v/>
      </c>
      <c r="QT23" t="str">
        <f t="shared" si="174"/>
        <v/>
      </c>
      <c r="QU23" t="str">
        <f t="shared" si="175"/>
        <v/>
      </c>
      <c r="QV23" t="str">
        <f t="shared" si="176"/>
        <v/>
      </c>
      <c r="QW23" t="str">
        <f t="shared" si="177"/>
        <v/>
      </c>
      <c r="QX23" t="str">
        <f t="shared" si="178"/>
        <v/>
      </c>
      <c r="QY23" t="str">
        <f t="shared" si="179"/>
        <v/>
      </c>
      <c r="QZ23" t="str">
        <f t="shared" si="180"/>
        <v/>
      </c>
      <c r="RA23" t="str">
        <f t="shared" si="181"/>
        <v/>
      </c>
      <c r="RB23" t="str">
        <f t="shared" si="182"/>
        <v/>
      </c>
      <c r="RC23" t="str">
        <f t="shared" si="183"/>
        <v/>
      </c>
      <c r="RD23" t="str">
        <f t="shared" si="184"/>
        <v/>
      </c>
      <c r="RE23" t="str">
        <f t="shared" si="185"/>
        <v/>
      </c>
      <c r="RF23" t="str">
        <f t="shared" si="186"/>
        <v/>
      </c>
      <c r="RG23" t="str">
        <f t="shared" si="187"/>
        <v/>
      </c>
      <c r="RH23" t="str">
        <f t="shared" si="188"/>
        <v/>
      </c>
      <c r="RI23" t="str">
        <f t="shared" si="189"/>
        <v/>
      </c>
      <c r="RJ23" t="str">
        <f t="shared" si="190"/>
        <v/>
      </c>
      <c r="RK23" t="str">
        <f t="shared" si="191"/>
        <v/>
      </c>
      <c r="RL23" t="str">
        <f t="shared" si="192"/>
        <v/>
      </c>
      <c r="RM23" t="str">
        <f t="shared" si="193"/>
        <v/>
      </c>
      <c r="RN23" t="str">
        <f t="shared" si="194"/>
        <v/>
      </c>
      <c r="RO23" t="str">
        <f t="shared" si="195"/>
        <v/>
      </c>
      <c r="RP23" t="str">
        <f t="shared" si="196"/>
        <v/>
      </c>
      <c r="RQ23" t="str">
        <f t="shared" si="197"/>
        <v/>
      </c>
      <c r="RR23" t="str">
        <f t="shared" si="198"/>
        <v/>
      </c>
      <c r="RS23" t="str">
        <f t="shared" si="199"/>
        <v/>
      </c>
      <c r="RT23" t="str">
        <f t="shared" si="200"/>
        <v/>
      </c>
      <c r="RU23" t="str">
        <f t="shared" si="201"/>
        <v/>
      </c>
      <c r="RV23" t="str">
        <f t="shared" si="202"/>
        <v/>
      </c>
      <c r="RW23" t="str">
        <f t="shared" si="203"/>
        <v/>
      </c>
      <c r="RX23" t="str">
        <f t="shared" si="204"/>
        <v/>
      </c>
      <c r="RY23" t="str">
        <f t="shared" si="205"/>
        <v/>
      </c>
      <c r="RZ23" t="str">
        <f t="shared" si="206"/>
        <v/>
      </c>
      <c r="SA23" t="str">
        <f t="shared" si="207"/>
        <v/>
      </c>
      <c r="SB23" t="str">
        <f t="shared" si="208"/>
        <v/>
      </c>
      <c r="SC23" t="str">
        <f t="shared" si="209"/>
        <v/>
      </c>
      <c r="SD23" t="str">
        <f t="shared" si="210"/>
        <v/>
      </c>
      <c r="SE23" t="str">
        <f t="shared" si="211"/>
        <v/>
      </c>
      <c r="SF23" t="str">
        <f t="shared" si="212"/>
        <v/>
      </c>
      <c r="SG23" t="str">
        <f t="shared" si="213"/>
        <v/>
      </c>
      <c r="SH23" t="str">
        <f t="shared" si="214"/>
        <v/>
      </c>
      <c r="SI23" t="str">
        <f t="shared" si="215"/>
        <v/>
      </c>
      <c r="SJ23" t="str">
        <f t="shared" si="216"/>
        <v/>
      </c>
      <c r="SK23" t="str">
        <f t="shared" si="217"/>
        <v/>
      </c>
      <c r="SL23" t="str">
        <f t="shared" si="218"/>
        <v/>
      </c>
      <c r="SM23" t="str">
        <f t="shared" si="219"/>
        <v/>
      </c>
      <c r="SN23" t="str">
        <f t="shared" si="220"/>
        <v/>
      </c>
      <c r="SO23" t="str">
        <f t="shared" si="221"/>
        <v/>
      </c>
      <c r="SP23" t="str">
        <f t="shared" si="222"/>
        <v/>
      </c>
    </row>
    <row r="24" spans="2:510" x14ac:dyDescent="0.3">
      <c r="B24" t="s">
        <v>41</v>
      </c>
      <c r="C24" cm="1" vm="20">
        <f t="array" aca="1" ref="C24" ca="1">INDEX(_xlfn.ANCHORARRAY(G24),D24)</f>
        <v>157.19999999999999</v>
      </c>
      <c r="D24">
        <f t="shared" ca="1" si="223"/>
        <v>19</v>
      </c>
      <c r="F24" t="s">
        <v>42</v>
      </c>
      <c r="G24" cm="1" vm="41">
        <f t="array" aca="1" ref="G24:Y24" ca="1">TRANSPOSE(_xlfn.STOCKHISTORY(F24,$H$4,G$4,0,0,1))</f>
        <v>161.08000000000001</v>
      </c>
      <c r="H24" vm="62">
        <f ca="1"/>
        <v>158.41</v>
      </c>
      <c r="I24" vm="83">
        <f ca="1"/>
        <v>159.88999999999999</v>
      </c>
      <c r="J24" vm="103">
        <f ca="1"/>
        <v>168.42</v>
      </c>
      <c r="K24" vm="124">
        <f ca="1"/>
        <v>164.75</v>
      </c>
      <c r="L24" vm="145">
        <f ca="1"/>
        <v>164.19</v>
      </c>
      <c r="M24" vm="166">
        <f ca="1"/>
        <v>159.85</v>
      </c>
      <c r="N24" vm="187">
        <f ca="1"/>
        <v>163.13999999999999</v>
      </c>
      <c r="O24" vm="208">
        <f ca="1"/>
        <v>161.72999999999999</v>
      </c>
      <c r="P24" vm="229">
        <f ca="1"/>
        <v>166.8</v>
      </c>
      <c r="Q24" vm="250">
        <f ca="1"/>
        <v>169.57</v>
      </c>
      <c r="R24" vm="271">
        <f ca="1"/>
        <v>169.67</v>
      </c>
      <c r="S24" vm="292">
        <f ca="1"/>
        <v>169.53</v>
      </c>
      <c r="T24" vm="312">
        <f ca="1"/>
        <v>169.45</v>
      </c>
      <c r="U24" vm="333">
        <f ca="1"/>
        <v>170.83</v>
      </c>
      <c r="V24" vm="354">
        <f ca="1"/>
        <v>167.88</v>
      </c>
      <c r="W24" vm="374">
        <f ca="1"/>
        <v>163.74</v>
      </c>
      <c r="X24" vm="395">
        <f ca="1"/>
        <v>160.97</v>
      </c>
      <c r="Y24" vm="20">
        <f ca="1"/>
        <v>157.19999999999999</v>
      </c>
      <c r="KB24" t="str">
        <f t="shared" si="0"/>
        <v/>
      </c>
      <c r="KC24" t="str">
        <f t="shared" si="1"/>
        <v/>
      </c>
      <c r="KD24" t="str">
        <f t="shared" si="2"/>
        <v/>
      </c>
      <c r="KE24" t="str">
        <f t="shared" si="3"/>
        <v/>
      </c>
      <c r="KF24" t="str">
        <f t="shared" si="4"/>
        <v/>
      </c>
      <c r="KG24" t="str">
        <f t="shared" si="5"/>
        <v/>
      </c>
      <c r="KH24" t="str">
        <f t="shared" si="6"/>
        <v/>
      </c>
      <c r="KI24" t="str">
        <f t="shared" si="7"/>
        <v/>
      </c>
      <c r="KJ24" t="str">
        <f t="shared" si="8"/>
        <v/>
      </c>
      <c r="KK24" t="str">
        <f t="shared" si="9"/>
        <v/>
      </c>
      <c r="KL24" t="str">
        <f t="shared" si="10"/>
        <v/>
      </c>
      <c r="KM24" t="str">
        <f t="shared" si="11"/>
        <v/>
      </c>
      <c r="KN24" t="str">
        <f t="shared" si="12"/>
        <v/>
      </c>
      <c r="KO24" t="str">
        <f t="shared" si="13"/>
        <v/>
      </c>
      <c r="KP24" t="str">
        <f t="shared" si="14"/>
        <v/>
      </c>
      <c r="KQ24" t="str">
        <f t="shared" si="15"/>
        <v/>
      </c>
      <c r="KR24" t="str">
        <f t="shared" si="16"/>
        <v/>
      </c>
      <c r="KS24" t="str">
        <f t="shared" si="17"/>
        <v/>
      </c>
      <c r="KT24" t="str">
        <f t="shared" si="18"/>
        <v/>
      </c>
      <c r="KU24" t="str">
        <f t="shared" si="19"/>
        <v/>
      </c>
      <c r="KV24" t="str">
        <f t="shared" si="20"/>
        <v/>
      </c>
      <c r="KW24" t="str">
        <f t="shared" si="21"/>
        <v/>
      </c>
      <c r="KX24" t="str">
        <f t="shared" si="22"/>
        <v/>
      </c>
      <c r="KY24" t="str">
        <f t="shared" si="23"/>
        <v/>
      </c>
      <c r="KZ24" t="str">
        <f t="shared" si="24"/>
        <v/>
      </c>
      <c r="LA24" t="str">
        <f t="shared" si="25"/>
        <v/>
      </c>
      <c r="LB24" t="str">
        <f t="shared" si="26"/>
        <v/>
      </c>
      <c r="LC24" t="str">
        <f t="shared" si="27"/>
        <v/>
      </c>
      <c r="LD24" t="str">
        <f t="shared" si="28"/>
        <v/>
      </c>
      <c r="LE24" t="str">
        <f t="shared" si="29"/>
        <v/>
      </c>
      <c r="LF24" t="str">
        <f t="shared" si="30"/>
        <v/>
      </c>
      <c r="LG24" t="str">
        <f t="shared" si="31"/>
        <v/>
      </c>
      <c r="LH24" t="str">
        <f t="shared" si="32"/>
        <v/>
      </c>
      <c r="LI24" t="str">
        <f t="shared" si="33"/>
        <v/>
      </c>
      <c r="LJ24" t="str">
        <f t="shared" si="34"/>
        <v/>
      </c>
      <c r="LK24" t="str">
        <f t="shared" si="35"/>
        <v/>
      </c>
      <c r="LL24" t="str">
        <f t="shared" si="36"/>
        <v/>
      </c>
      <c r="LM24" t="str">
        <f t="shared" si="37"/>
        <v/>
      </c>
      <c r="LN24" t="str">
        <f t="shared" si="38"/>
        <v/>
      </c>
      <c r="LO24" t="str">
        <f t="shared" si="39"/>
        <v/>
      </c>
      <c r="LP24" t="str">
        <f t="shared" si="40"/>
        <v/>
      </c>
      <c r="LQ24" t="str">
        <f t="shared" si="41"/>
        <v/>
      </c>
      <c r="LR24" t="str">
        <f t="shared" si="42"/>
        <v/>
      </c>
      <c r="LS24" t="str">
        <f t="shared" si="43"/>
        <v/>
      </c>
      <c r="LT24" t="str">
        <f t="shared" si="44"/>
        <v/>
      </c>
      <c r="LU24" t="str">
        <f t="shared" si="45"/>
        <v/>
      </c>
      <c r="LV24" t="str">
        <f t="shared" si="46"/>
        <v/>
      </c>
      <c r="LW24" t="str">
        <f t="shared" si="47"/>
        <v/>
      </c>
      <c r="LX24" t="str">
        <f t="shared" si="48"/>
        <v/>
      </c>
      <c r="LY24" t="str">
        <f t="shared" si="49"/>
        <v/>
      </c>
      <c r="LZ24" t="str">
        <f t="shared" si="50"/>
        <v/>
      </c>
      <c r="MA24" t="str">
        <f t="shared" si="51"/>
        <v/>
      </c>
      <c r="MB24" t="str">
        <f t="shared" si="52"/>
        <v/>
      </c>
      <c r="MC24" t="str">
        <f t="shared" si="53"/>
        <v/>
      </c>
      <c r="MD24" t="str">
        <f t="shared" si="54"/>
        <v/>
      </c>
      <c r="ME24" t="str">
        <f t="shared" si="55"/>
        <v/>
      </c>
      <c r="MF24" t="str">
        <f t="shared" si="56"/>
        <v/>
      </c>
      <c r="MG24" t="str">
        <f t="shared" si="57"/>
        <v/>
      </c>
      <c r="MH24" t="str">
        <f t="shared" si="58"/>
        <v/>
      </c>
      <c r="MI24" t="str">
        <f t="shared" si="59"/>
        <v/>
      </c>
      <c r="MJ24" t="str">
        <f t="shared" si="60"/>
        <v/>
      </c>
      <c r="MK24" t="str">
        <f t="shared" si="61"/>
        <v/>
      </c>
      <c r="ML24" t="str">
        <f t="shared" si="62"/>
        <v/>
      </c>
      <c r="MM24" t="str">
        <f t="shared" si="63"/>
        <v/>
      </c>
      <c r="MN24" t="str">
        <f t="shared" si="64"/>
        <v/>
      </c>
      <c r="MO24" t="str">
        <f t="shared" si="65"/>
        <v/>
      </c>
      <c r="MP24" t="str">
        <f t="shared" si="66"/>
        <v/>
      </c>
      <c r="MQ24" t="str">
        <f t="shared" si="67"/>
        <v/>
      </c>
      <c r="MR24" t="str">
        <f t="shared" si="68"/>
        <v/>
      </c>
      <c r="MS24" t="str">
        <f t="shared" si="69"/>
        <v/>
      </c>
      <c r="MT24" t="str">
        <f t="shared" si="70"/>
        <v/>
      </c>
      <c r="MU24" t="str">
        <f t="shared" si="71"/>
        <v/>
      </c>
      <c r="MV24" t="str">
        <f t="shared" si="72"/>
        <v/>
      </c>
      <c r="MW24" t="str">
        <f t="shared" si="73"/>
        <v/>
      </c>
      <c r="MX24" t="str">
        <f t="shared" si="74"/>
        <v/>
      </c>
      <c r="MY24" t="str">
        <f t="shared" si="75"/>
        <v/>
      </c>
      <c r="MZ24" t="str">
        <f t="shared" si="76"/>
        <v/>
      </c>
      <c r="NA24" t="str">
        <f t="shared" si="77"/>
        <v/>
      </c>
      <c r="NB24" t="str">
        <f t="shared" si="78"/>
        <v/>
      </c>
      <c r="NC24" t="str">
        <f t="shared" si="79"/>
        <v/>
      </c>
      <c r="ND24" t="str">
        <f t="shared" si="80"/>
        <v/>
      </c>
      <c r="NE24" t="str">
        <f t="shared" si="81"/>
        <v/>
      </c>
      <c r="NF24" t="str">
        <f t="shared" si="82"/>
        <v/>
      </c>
      <c r="NG24" t="str">
        <f t="shared" si="83"/>
        <v/>
      </c>
      <c r="NH24" t="str">
        <f t="shared" si="84"/>
        <v/>
      </c>
      <c r="NI24" t="str">
        <f t="shared" si="85"/>
        <v/>
      </c>
      <c r="NJ24" t="str">
        <f t="shared" si="86"/>
        <v/>
      </c>
      <c r="NK24" t="str">
        <f t="shared" si="87"/>
        <v/>
      </c>
      <c r="NL24" t="str">
        <f t="shared" si="88"/>
        <v/>
      </c>
      <c r="NM24" t="str">
        <f t="shared" si="89"/>
        <v/>
      </c>
      <c r="NN24" t="str">
        <f t="shared" si="90"/>
        <v/>
      </c>
      <c r="NO24" t="str">
        <f t="shared" si="91"/>
        <v/>
      </c>
      <c r="NP24" t="str">
        <f t="shared" si="92"/>
        <v/>
      </c>
      <c r="NQ24" t="str">
        <f t="shared" si="93"/>
        <v/>
      </c>
      <c r="NR24" t="str">
        <f t="shared" si="94"/>
        <v/>
      </c>
      <c r="NS24" t="str">
        <f t="shared" si="95"/>
        <v/>
      </c>
      <c r="NT24" t="str">
        <f t="shared" si="96"/>
        <v/>
      </c>
      <c r="NU24" t="str">
        <f t="shared" si="97"/>
        <v/>
      </c>
      <c r="NV24" t="str">
        <f t="shared" si="98"/>
        <v/>
      </c>
      <c r="NW24" t="str">
        <f t="shared" si="99"/>
        <v/>
      </c>
      <c r="NX24" t="str">
        <f t="shared" si="100"/>
        <v/>
      </c>
      <c r="NY24" t="str">
        <f t="shared" si="101"/>
        <v/>
      </c>
      <c r="NZ24" t="str">
        <f t="shared" si="102"/>
        <v/>
      </c>
      <c r="OA24" t="str">
        <f t="shared" si="103"/>
        <v/>
      </c>
      <c r="OB24" t="str">
        <f t="shared" si="104"/>
        <v/>
      </c>
      <c r="OC24" t="str">
        <f t="shared" si="105"/>
        <v/>
      </c>
      <c r="OD24" t="str">
        <f t="shared" si="106"/>
        <v/>
      </c>
      <c r="OE24" t="str">
        <f t="shared" si="107"/>
        <v/>
      </c>
      <c r="OF24" t="str">
        <f t="shared" si="108"/>
        <v/>
      </c>
      <c r="OG24" t="str">
        <f t="shared" si="109"/>
        <v/>
      </c>
      <c r="OH24" t="str">
        <f t="shared" si="110"/>
        <v/>
      </c>
      <c r="OI24" t="str">
        <f t="shared" si="111"/>
        <v/>
      </c>
      <c r="OJ24" t="str">
        <f t="shared" si="112"/>
        <v/>
      </c>
      <c r="OK24" t="str">
        <f t="shared" si="113"/>
        <v/>
      </c>
      <c r="OL24" t="str">
        <f t="shared" si="114"/>
        <v/>
      </c>
      <c r="OM24" t="str">
        <f t="shared" si="115"/>
        <v/>
      </c>
      <c r="ON24" t="str">
        <f t="shared" si="116"/>
        <v/>
      </c>
      <c r="OO24" t="str">
        <f t="shared" si="117"/>
        <v/>
      </c>
      <c r="OP24" t="str">
        <f t="shared" si="118"/>
        <v/>
      </c>
      <c r="OQ24" t="str">
        <f t="shared" si="119"/>
        <v/>
      </c>
      <c r="OR24" t="str">
        <f t="shared" si="120"/>
        <v/>
      </c>
      <c r="OS24" t="str">
        <f t="shared" si="121"/>
        <v/>
      </c>
      <c r="OT24" t="str">
        <f t="shared" si="122"/>
        <v/>
      </c>
      <c r="OU24" t="str">
        <f t="shared" si="123"/>
        <v/>
      </c>
      <c r="OV24" t="str">
        <f t="shared" si="124"/>
        <v/>
      </c>
      <c r="OW24" t="str">
        <f t="shared" si="125"/>
        <v/>
      </c>
      <c r="OX24" t="str">
        <f t="shared" si="126"/>
        <v/>
      </c>
      <c r="OY24" t="str">
        <f t="shared" si="127"/>
        <v/>
      </c>
      <c r="OZ24" t="str">
        <f t="shared" si="128"/>
        <v/>
      </c>
      <c r="PA24" t="str">
        <f t="shared" si="129"/>
        <v/>
      </c>
      <c r="PB24" t="str">
        <f t="shared" si="130"/>
        <v/>
      </c>
      <c r="PC24" t="str">
        <f t="shared" si="131"/>
        <v/>
      </c>
      <c r="PD24" t="str">
        <f t="shared" si="132"/>
        <v/>
      </c>
      <c r="PE24" t="str">
        <f t="shared" si="133"/>
        <v/>
      </c>
      <c r="PF24" t="str">
        <f t="shared" si="134"/>
        <v/>
      </c>
      <c r="PG24" t="str">
        <f t="shared" si="135"/>
        <v/>
      </c>
      <c r="PH24" t="str">
        <f t="shared" si="136"/>
        <v/>
      </c>
      <c r="PI24" t="str">
        <f t="shared" si="137"/>
        <v/>
      </c>
      <c r="PJ24" t="str">
        <f t="shared" si="138"/>
        <v/>
      </c>
      <c r="PK24" t="str">
        <f t="shared" si="139"/>
        <v/>
      </c>
      <c r="PL24" t="str">
        <f t="shared" si="140"/>
        <v/>
      </c>
      <c r="PM24" t="str">
        <f t="shared" si="141"/>
        <v/>
      </c>
      <c r="PN24" t="str">
        <f t="shared" si="142"/>
        <v/>
      </c>
      <c r="PO24" t="str">
        <f t="shared" si="143"/>
        <v/>
      </c>
      <c r="PP24" t="str">
        <f t="shared" si="144"/>
        <v/>
      </c>
      <c r="PQ24" t="str">
        <f t="shared" si="145"/>
        <v/>
      </c>
      <c r="PR24" t="str">
        <f t="shared" si="146"/>
        <v/>
      </c>
      <c r="PS24" t="str">
        <f t="shared" si="147"/>
        <v/>
      </c>
      <c r="PT24" t="str">
        <f t="shared" si="148"/>
        <v/>
      </c>
      <c r="PU24" t="str">
        <f t="shared" si="149"/>
        <v/>
      </c>
      <c r="PV24" t="str">
        <f t="shared" si="150"/>
        <v/>
      </c>
      <c r="PW24" t="str">
        <f t="shared" si="151"/>
        <v/>
      </c>
      <c r="PX24" t="str">
        <f t="shared" si="152"/>
        <v/>
      </c>
      <c r="PY24" t="str">
        <f t="shared" si="153"/>
        <v/>
      </c>
      <c r="PZ24" t="str">
        <f t="shared" si="154"/>
        <v/>
      </c>
      <c r="QA24" t="str">
        <f t="shared" si="155"/>
        <v/>
      </c>
      <c r="QB24" t="str">
        <f t="shared" si="156"/>
        <v/>
      </c>
      <c r="QC24" t="str">
        <f t="shared" si="157"/>
        <v/>
      </c>
      <c r="QD24" t="str">
        <f t="shared" si="158"/>
        <v/>
      </c>
      <c r="QE24" t="str">
        <f t="shared" si="159"/>
        <v/>
      </c>
      <c r="QF24" t="str">
        <f t="shared" si="160"/>
        <v/>
      </c>
      <c r="QG24" t="str">
        <f t="shared" si="161"/>
        <v/>
      </c>
      <c r="QH24" t="str">
        <f t="shared" si="162"/>
        <v/>
      </c>
      <c r="QI24" t="str">
        <f t="shared" si="163"/>
        <v/>
      </c>
      <c r="QJ24" t="str">
        <f t="shared" si="164"/>
        <v/>
      </c>
      <c r="QK24" t="str">
        <f t="shared" si="165"/>
        <v/>
      </c>
      <c r="QL24" t="str">
        <f t="shared" si="166"/>
        <v/>
      </c>
      <c r="QM24" t="str">
        <f t="shared" si="167"/>
        <v/>
      </c>
      <c r="QN24" t="str">
        <f t="shared" si="168"/>
        <v/>
      </c>
      <c r="QO24" t="str">
        <f t="shared" si="169"/>
        <v/>
      </c>
      <c r="QP24" t="str">
        <f t="shared" si="170"/>
        <v/>
      </c>
      <c r="QQ24" t="str">
        <f t="shared" si="171"/>
        <v/>
      </c>
      <c r="QR24" t="str">
        <f t="shared" si="172"/>
        <v/>
      </c>
      <c r="QS24" t="str">
        <f t="shared" si="173"/>
        <v/>
      </c>
      <c r="QT24" t="str">
        <f t="shared" si="174"/>
        <v/>
      </c>
      <c r="QU24" t="str">
        <f t="shared" si="175"/>
        <v/>
      </c>
      <c r="QV24" t="str">
        <f t="shared" si="176"/>
        <v/>
      </c>
      <c r="QW24" t="str">
        <f t="shared" si="177"/>
        <v/>
      </c>
      <c r="QX24" t="str">
        <f t="shared" si="178"/>
        <v/>
      </c>
      <c r="QY24" t="str">
        <f t="shared" si="179"/>
        <v/>
      </c>
      <c r="QZ24" t="str">
        <f t="shared" si="180"/>
        <v/>
      </c>
      <c r="RA24" t="str">
        <f t="shared" si="181"/>
        <v/>
      </c>
      <c r="RB24" t="str">
        <f t="shared" si="182"/>
        <v/>
      </c>
      <c r="RC24" t="str">
        <f t="shared" si="183"/>
        <v/>
      </c>
      <c r="RD24" t="str">
        <f t="shared" si="184"/>
        <v/>
      </c>
      <c r="RE24" t="str">
        <f t="shared" si="185"/>
        <v/>
      </c>
      <c r="RF24" t="str">
        <f t="shared" si="186"/>
        <v/>
      </c>
      <c r="RG24" t="str">
        <f t="shared" si="187"/>
        <v/>
      </c>
      <c r="RH24" t="str">
        <f t="shared" si="188"/>
        <v/>
      </c>
      <c r="RI24" t="str">
        <f t="shared" si="189"/>
        <v/>
      </c>
      <c r="RJ24" t="str">
        <f t="shared" si="190"/>
        <v/>
      </c>
      <c r="RK24" t="str">
        <f t="shared" si="191"/>
        <v/>
      </c>
      <c r="RL24" t="str">
        <f t="shared" si="192"/>
        <v/>
      </c>
      <c r="RM24" t="str">
        <f t="shared" si="193"/>
        <v/>
      </c>
      <c r="RN24" t="str">
        <f t="shared" si="194"/>
        <v/>
      </c>
      <c r="RO24" t="str">
        <f t="shared" si="195"/>
        <v/>
      </c>
      <c r="RP24" t="str">
        <f t="shared" si="196"/>
        <v/>
      </c>
      <c r="RQ24" t="str">
        <f t="shared" si="197"/>
        <v/>
      </c>
      <c r="RR24" t="str">
        <f t="shared" si="198"/>
        <v/>
      </c>
      <c r="RS24" t="str">
        <f t="shared" si="199"/>
        <v/>
      </c>
      <c r="RT24" t="str">
        <f t="shared" si="200"/>
        <v/>
      </c>
      <c r="RU24" t="str">
        <f t="shared" si="201"/>
        <v/>
      </c>
      <c r="RV24" t="str">
        <f t="shared" si="202"/>
        <v/>
      </c>
      <c r="RW24" t="str">
        <f t="shared" si="203"/>
        <v/>
      </c>
      <c r="RX24" t="str">
        <f t="shared" si="204"/>
        <v/>
      </c>
      <c r="RY24" t="str">
        <f t="shared" si="205"/>
        <v/>
      </c>
      <c r="RZ24" t="str">
        <f t="shared" si="206"/>
        <v/>
      </c>
      <c r="SA24" t="str">
        <f t="shared" si="207"/>
        <v/>
      </c>
      <c r="SB24" t="str">
        <f t="shared" si="208"/>
        <v/>
      </c>
      <c r="SC24" t="str">
        <f t="shared" si="209"/>
        <v/>
      </c>
      <c r="SD24" t="str">
        <f t="shared" si="210"/>
        <v/>
      </c>
      <c r="SE24" t="str">
        <f t="shared" si="211"/>
        <v/>
      </c>
      <c r="SF24" t="str">
        <f t="shared" si="212"/>
        <v/>
      </c>
      <c r="SG24" t="str">
        <f t="shared" si="213"/>
        <v/>
      </c>
      <c r="SH24" t="str">
        <f t="shared" si="214"/>
        <v/>
      </c>
      <c r="SI24" t="str">
        <f t="shared" si="215"/>
        <v/>
      </c>
      <c r="SJ24" t="str">
        <f t="shared" si="216"/>
        <v/>
      </c>
      <c r="SK24" t="str">
        <f t="shared" si="217"/>
        <v/>
      </c>
      <c r="SL24" t="str">
        <f t="shared" si="218"/>
        <v/>
      </c>
      <c r="SM24" t="str">
        <f t="shared" si="219"/>
        <v/>
      </c>
      <c r="SN24" t="str">
        <f t="shared" si="220"/>
        <v/>
      </c>
      <c r="SO24" t="str">
        <f t="shared" si="221"/>
        <v/>
      </c>
      <c r="SP24" t="str">
        <f t="shared" si="222"/>
        <v/>
      </c>
    </row>
    <row r="29" spans="2:510" x14ac:dyDescent="0.3">
      <c r="C29" t="e" vm="397">
        <v>#VALUE!</v>
      </c>
      <c r="D29" t="s">
        <v>48</v>
      </c>
      <c r="E29" s="4" cm="1">
        <f t="array" aca="1" ref="E29" ca="1">_FV(C29,"Yield last week",TRUE)</f>
        <v>3.492E-2</v>
      </c>
    </row>
  </sheetData>
  <hyperlinks>
    <hyperlink ref="F5" r:id="rId1" display="https://www.slickcharts.com/symbol/NVDA" xr:uid="{26B79EA4-0EB1-493C-A58A-F9AC4B8F00B9}"/>
    <hyperlink ref="F6" r:id="rId2" display="https://www.slickcharts.com/symbol/AAPL" xr:uid="{B37A1A29-79DD-4B67-94C3-64ECC6DD27B7}"/>
    <hyperlink ref="F7" r:id="rId3" display="https://www.slickcharts.com/symbol/MSFT" xr:uid="{0CA38E5E-786E-4EE3-9A90-AB37A913EF72}"/>
    <hyperlink ref="F8" r:id="rId4" display="https://www.slickcharts.com/symbol/AMZN" xr:uid="{AA5ED1A0-B455-4DE6-B8DC-509D64058D30}"/>
    <hyperlink ref="F9" r:id="rId5" display="https://www.slickcharts.com/symbol/GOOGL" xr:uid="{A2A44C53-CA69-4986-B245-333947F990FB}"/>
    <hyperlink ref="F10" r:id="rId6" display="https://www.slickcharts.com/symbol/GOOG" xr:uid="{D1981BBC-C2D9-4AE9-9F91-333FF8796E28}"/>
    <hyperlink ref="F11" r:id="rId7" display="https://www.slickcharts.com/symbol/META" xr:uid="{A56709B0-CDA3-48F2-9945-5735ED1FD3F9}"/>
    <hyperlink ref="F12" r:id="rId8" display="https://www.slickcharts.com/symbol/AVGO" xr:uid="{08D051E4-7281-422C-BDCE-B75E55707E42}"/>
    <hyperlink ref="F13" r:id="rId9" display="https://www.slickcharts.com/symbol/TSLA" xr:uid="{CD5D3C16-C367-433F-B671-052E159A5317}"/>
    <hyperlink ref="F14" r:id="rId10" display="https://www.slickcharts.com/symbol/PLTR" xr:uid="{E6791FB4-6EDF-4FA6-ABD1-281076D875AB}"/>
    <hyperlink ref="F15" r:id="rId11" display="https://www.slickcharts.com/symbol/ASML" xr:uid="{E803837F-F06D-4BCA-AE6F-3206E3BC5A10}"/>
    <hyperlink ref="F16" r:id="rId12" display="https://www.slickcharts.com/symbol/NFLX" xr:uid="{CFC772B1-7295-4F69-91E0-7CB4CD49CB7A}"/>
    <hyperlink ref="F17" r:id="rId13" display="https://www.slickcharts.com/symbol/COST" xr:uid="{3984A561-08B0-44D2-8A20-AB3CAFAB35E9}"/>
    <hyperlink ref="F18" r:id="rId14" display="https://www.slickcharts.com/symbol/AMD" xr:uid="{F85E38AE-2CAF-4732-A2FC-641498257E67}"/>
    <hyperlink ref="F19" r:id="rId15" display="https://www.slickcharts.com/symbol/MU" xr:uid="{E41BE53B-3EEA-490B-A700-F033F1DF3F39}"/>
    <hyperlink ref="F20" r:id="rId16" display="https://www.slickcharts.com/symbol/CSCO" xr:uid="{FB717440-E81F-4F59-B83A-3EA8FFA55C18}"/>
    <hyperlink ref="F21" r:id="rId17" display="https://www.slickcharts.com/symbol/AZN" xr:uid="{88365158-534F-42E2-9A66-8465C84FE5E3}"/>
    <hyperlink ref="F22" r:id="rId18" display="https://www.slickcharts.com/symbol/APP" xr:uid="{1894B7B1-6D3F-466C-9429-7D3670584CFB}"/>
    <hyperlink ref="F23" r:id="rId19" display="https://www.slickcharts.com/symbol/TMUS" xr:uid="{D321AFE6-7DFE-4EA5-94F3-99CBE97E3E7E}"/>
    <hyperlink ref="F24" r:id="rId20" display="https://www.slickcharts.com/symbol/SHOP" xr:uid="{EA358596-EB75-4290-9ED7-5274CDE82A0E}"/>
    <hyperlink ref="B6" r:id="rId21" display="https://www.slickcharts.com/symbol/AAPL" xr:uid="{B8F813C4-698A-4990-BF3C-38619E899708}"/>
    <hyperlink ref="B7" r:id="rId22" display="https://www.slickcharts.com/symbol/MSFT" xr:uid="{95F980B7-40FB-4CEF-8EC1-A28E92FA6CB6}"/>
    <hyperlink ref="B8" r:id="rId23" display="https://www.slickcharts.com/symbol/AMZN" xr:uid="{2107059A-C875-4668-AFEA-858399EB974A}"/>
    <hyperlink ref="B9" r:id="rId24" display="https://www.slickcharts.com/symbol/GOOGL" xr:uid="{37D6F763-8A2E-4155-BEDC-7FA73DD0AD97}"/>
    <hyperlink ref="B10" r:id="rId25" display="https://www.slickcharts.com/symbol/GOOG" xr:uid="{61B03E3C-F99C-4192-8AA9-E39397704676}"/>
    <hyperlink ref="B11" r:id="rId26" display="https://www.slickcharts.com/symbol/META" xr:uid="{01330CBF-B3C1-482A-BC29-69FE535C611B}"/>
    <hyperlink ref="B12" r:id="rId27" display="https://www.slickcharts.com/symbol/AVGO" xr:uid="{37397A21-7B11-4B0E-8D16-555E47F12C51}"/>
    <hyperlink ref="B13" r:id="rId28" display="https://www.slickcharts.com/symbol/TSLA" xr:uid="{BB528E2D-BE19-4D0A-BA7E-7ED4337EE7C8}"/>
    <hyperlink ref="B14" r:id="rId29" display="https://www.slickcharts.com/symbol/PLTR" xr:uid="{1202A181-F61D-4239-AB99-5ACA500388CC}"/>
    <hyperlink ref="B15" r:id="rId30" display="https://www.slickcharts.com/symbol/ASML" xr:uid="{F3E7B641-87DB-4DEA-80E2-CDAE1F443BA4}"/>
    <hyperlink ref="B16" r:id="rId31" display="https://www.slickcharts.com/symbol/NFLX" xr:uid="{E7E994DA-6BFB-4693-B74F-9363A1F94F6D}"/>
    <hyperlink ref="B17" r:id="rId32" display="https://www.slickcharts.com/symbol/COST" xr:uid="{618AE602-1678-49B6-A9A2-B58A698624E5}"/>
    <hyperlink ref="B18" r:id="rId33" display="https://www.slickcharts.com/symbol/AMD" xr:uid="{2084EB78-8A1B-4750-86A7-AF98F8399102}"/>
    <hyperlink ref="B19" r:id="rId34" display="https://www.slickcharts.com/symbol/MU" xr:uid="{4E33EB24-23D3-41D7-816E-1F43215A9988}"/>
    <hyperlink ref="B20" r:id="rId35" display="https://www.slickcharts.com/symbol/CSCO" xr:uid="{36792265-04C3-45A2-B2BD-F5B8090B79A4}"/>
    <hyperlink ref="B21" r:id="rId36" display="https://www.slickcharts.com/symbol/AZN" xr:uid="{709A4C97-F04D-453C-A558-E059924F120E}"/>
    <hyperlink ref="B22" r:id="rId37" display="https://www.slickcharts.com/symbol/APP" xr:uid="{10B507B5-896C-4B50-B12B-5E6214085775}"/>
    <hyperlink ref="B23" r:id="rId38" display="https://www.slickcharts.com/symbol/TMUS" xr:uid="{8D8394F3-3B31-4352-BD15-A7CCF85BCC35}"/>
    <hyperlink ref="B24" r:id="rId39" display="https://www.slickcharts.com/symbol/SHOP" xr:uid="{1524E7E7-3912-4D2B-A90D-6F9DE618201F}"/>
    <hyperlink ref="B5" r:id="rId40" display="https://www.slickcharts.com/symbol/NVDA" xr:uid="{D132BB89-6475-4C90-93A3-4B386F1D46A9}"/>
  </hyperlinks>
  <pageMargins left="0.7" right="0.7" top="0.75" bottom="0.75" header="0.3" footer="0.3"/>
  <drawing r:id="rId4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7AAC9D-513D-4FB3-8894-84017B050297}">
  <sheetPr codeName="Sheet4"/>
  <dimension ref="B4:AD24"/>
  <sheetViews>
    <sheetView topLeftCell="A3" workbookViewId="0">
      <selection activeCell="E5" sqref="E5"/>
    </sheetView>
  </sheetViews>
  <sheetFormatPr defaultRowHeight="14.4" x14ac:dyDescent="0.3"/>
  <cols>
    <col min="2" max="2" width="24.77734375" bestFit="1" customWidth="1"/>
  </cols>
  <sheetData>
    <row r="4" spans="2:30" x14ac:dyDescent="0.3">
      <c r="C4" t="s">
        <v>8</v>
      </c>
    </row>
    <row r="5" spans="2:30" x14ac:dyDescent="0.3">
      <c r="B5" t="s">
        <v>9</v>
      </c>
      <c r="C5" s="3">
        <f ca="1">IFERROR(_xlfn.STDEV.S(E5:AD5),"")*SQRT(12)</f>
        <v>6.8484297288266646E-2</v>
      </c>
      <c r="D5" t="s">
        <v>10</v>
      </c>
      <c r="E5">
        <f ca="1">IFERROR(LN('list of the stocks'!H5/'list of the stocks'!G5),"")</f>
        <v>1.7067486807783531E-2</v>
      </c>
      <c r="F5">
        <f ca="1">IFERROR(LN('list of the stocks'!I5/'list of the stocks'!H5),"")</f>
        <v>-3.1307377401490854E-3</v>
      </c>
      <c r="G5">
        <f ca="1">IFERROR(LN('list of the stocks'!J5/'list of the stocks'!I5),"")</f>
        <v>-6.4542596937187469E-3</v>
      </c>
      <c r="H5">
        <f ca="1">IFERROR(LN('list of the stocks'!K5/'list of the stocks'!J5),"")</f>
        <v>-1.5629173941733798E-2</v>
      </c>
      <c r="I5">
        <f ca="1">IFERROR(LN('list of the stocks'!L5/'list of the stocks'!K5),"")</f>
        <v>-3.3209963023319987E-2</v>
      </c>
      <c r="J5">
        <f ca="1">IFERROR(LN('list of the stocks'!M5/'list of the stocks'!L5),"")</f>
        <v>7.2301131899667921E-3</v>
      </c>
      <c r="K5">
        <f ca="1">IFERROR(LN('list of the stocks'!N5/'list of the stocks'!M5),"")</f>
        <v>8.0789117700556697E-3</v>
      </c>
      <c r="L5">
        <f ca="1">IFERROR(LN('list of the stocks'!O5/'list of the stocks'!N5),"")</f>
        <v>-3.8896660329835825E-2</v>
      </c>
      <c r="M5">
        <f ca="1">IFERROR(LN('list of the stocks'!P5/'list of the stocks'!O5),"")</f>
        <v>1.8546955662597609E-2</v>
      </c>
      <c r="N5">
        <f ca="1">IFERROR(LN('list of the stocks'!Q5/'list of the stocks'!P5),"")</f>
        <v>3.8582207720310666E-2</v>
      </c>
      <c r="O5">
        <f ca="1">IFERROR(LN('list of the stocks'!R5/'list of the stocks'!Q5),"")</f>
        <v>1.4807773037192643E-2</v>
      </c>
      <c r="P5">
        <f ca="1">IFERROR(LN('list of the stocks'!S5/'list of the stocks'!R5),"")</f>
        <v>2.9607955185696779E-2</v>
      </c>
      <c r="Q5">
        <f ca="1">IFERROR(LN('list of the stocks'!T5/'list of the stocks'!S5),"")</f>
        <v>-3.1761182805900893E-3</v>
      </c>
      <c r="R5">
        <f ca="1">IFERROR(LN('list of the stocks'!U5/'list of the stocks'!T5),"")</f>
        <v>1.0128271419913706E-2</v>
      </c>
      <c r="S5">
        <f ca="1">IFERROR(LN('list of the stocks'!V5/'list of the stocks'!U5),"")</f>
        <v>-1.2198171052351379E-2</v>
      </c>
      <c r="T5">
        <f ca="1">IFERROR(LN('list of the stocks'!W5/'list of the stocks'!V5),"")</f>
        <v>-3.6193354391626667E-3</v>
      </c>
      <c r="U5">
        <f ca="1">IFERROR(LN('list of the stocks'!X5/'list of the stocks'!W5),"")</f>
        <v>-5.5609169076088118E-3</v>
      </c>
      <c r="V5">
        <f ca="1">IFERROR(LN('list of the stocks'!Y5/'list of the stocks'!X5),"")</f>
        <v>1.2521810074595619E-2</v>
      </c>
      <c r="W5" t="str">
        <f ca="1">IFERROR(LN('list of the stocks'!Z5/'list of the stocks'!Y5),"")</f>
        <v/>
      </c>
      <c r="X5" t="str">
        <f>IFERROR(LN('list of the stocks'!AA5/'list of the stocks'!Z5),"")</f>
        <v/>
      </c>
      <c r="Y5" t="str">
        <f>IFERROR(LN('list of the stocks'!AB5/'list of the stocks'!AA5),"")</f>
        <v/>
      </c>
      <c r="Z5" t="str">
        <f>IFERROR(LN('list of the stocks'!AC5/'list of the stocks'!AB5),"")</f>
        <v/>
      </c>
      <c r="AA5" t="str">
        <f>IFERROR(LN('list of the stocks'!AD5/'list of the stocks'!AC5),"")</f>
        <v/>
      </c>
      <c r="AB5" t="str">
        <f>IFERROR(LN('list of the stocks'!AE5/'list of the stocks'!AD5),"")</f>
        <v/>
      </c>
      <c r="AC5" t="str">
        <f>IFERROR(LN('list of the stocks'!AF5/'list of the stocks'!AE5),"")</f>
        <v/>
      </c>
      <c r="AD5" t="str">
        <f>IFERROR(LN('list of the stocks'!AG5/'list of the stocks'!AF5),"")</f>
        <v/>
      </c>
    </row>
    <row r="6" spans="2:30" x14ac:dyDescent="0.3">
      <c r="B6" t="s">
        <v>11</v>
      </c>
      <c r="C6" s="3">
        <f t="shared" ref="C6:C24" ca="1" si="0">IFERROR(_xlfn.STDEV.S(E6:AD6),"")*SQRT(12)</f>
        <v>2.0083232793760435E-2</v>
      </c>
      <c r="D6" t="s">
        <v>6</v>
      </c>
      <c r="E6">
        <f ca="1">IFERROR(LN('list of the stocks'!H6/'list of the stocks'!G6),"")</f>
        <v>-3.1975883676944017E-3</v>
      </c>
      <c r="F6">
        <f ca="1">IFERROR(LN('list of the stocks'!I6/'list of the stocks'!H6),"")</f>
        <v>-2.5582372933893359E-3</v>
      </c>
      <c r="G6">
        <f ca="1">IFERROR(LN('list of the stocks'!J6/'list of the stocks'!I6),"")</f>
        <v>5.7558256610836991E-3</v>
      </c>
      <c r="H6">
        <f ca="1">IFERROR(LN('list of the stocks'!K6/'list of the stocks'!J6),"")</f>
        <v>-2.6939187642996787E-3</v>
      </c>
      <c r="I6">
        <f ca="1">IFERROR(LN('list of the stocks'!L6/'list of the stocks'!K6),"")</f>
        <v>8.9877951799999299E-4</v>
      </c>
      <c r="J6">
        <f ca="1">IFERROR(LN('list of the stocks'!M6/'list of the stocks'!L6),"")</f>
        <v>-1.509831537680152E-2</v>
      </c>
      <c r="K6">
        <f ca="1">IFERROR(LN('list of the stocks'!N6/'list of the stocks'!M6),"")</f>
        <v>1.8224235981354902E-3</v>
      </c>
      <c r="L6">
        <f ca="1">IFERROR(LN('list of the stocks'!O6/'list of the stocks'!N6),"")</f>
        <v>-1.013825135315272E-2</v>
      </c>
      <c r="M6">
        <f ca="1">IFERROR(LN('list of the stocks'!P6/'list of the stocks'!O6),"")</f>
        <v>1.2866939260253387E-3</v>
      </c>
      <c r="N6">
        <f ca="1">IFERROR(LN('list of the stocks'!Q6/'list of the stocks'!P6),"")</f>
        <v>5.4226491284583497E-3</v>
      </c>
      <c r="O6">
        <f ca="1">IFERROR(LN('list of the stocks'!R6/'list of the stocks'!Q6),"")</f>
        <v>-9.9148873332354798E-3</v>
      </c>
      <c r="P6">
        <f ca="1">IFERROR(LN('list of the stocks'!S6/'list of the stocks'!R6),"")</f>
        <v>5.116606969895846E-3</v>
      </c>
      <c r="Q6">
        <f ca="1">IFERROR(LN('list of the stocks'!T6/'list of the stocks'!S6),"")</f>
        <v>5.3097145821295851E-3</v>
      </c>
      <c r="R6">
        <f ca="1">IFERROR(LN('list of the stocks'!U6/'list of the stocks'!T6),"")</f>
        <v>-1.4985109070465431E-3</v>
      </c>
      <c r="S6">
        <f ca="1">IFERROR(LN('list of the stocks'!V6/'list of the stocks'!U6),"")</f>
        <v>1.3158858540342575E-3</v>
      </c>
      <c r="T6">
        <f ca="1">IFERROR(LN('list of the stocks'!W6/'list of the stocks'!V6),"")</f>
        <v>-2.4870175938038587E-3</v>
      </c>
      <c r="U6">
        <f ca="1">IFERROR(LN('list of the stocks'!X6/'list of the stocks'!W6),"")</f>
        <v>-4.4775646429776467E-3</v>
      </c>
      <c r="V6">
        <f ca="1">IFERROR(LN('list of the stocks'!Y6/'list of the stocks'!X6),"")</f>
        <v>-3.1315073391992238E-3</v>
      </c>
      <c r="W6" t="str">
        <f ca="1">IFERROR(LN('list of the stocks'!Z6/'list of the stocks'!Y6),"")</f>
        <v/>
      </c>
      <c r="X6" t="str">
        <f>IFERROR(LN('list of the stocks'!AA6/'list of the stocks'!Z6),"")</f>
        <v/>
      </c>
      <c r="Y6" t="str">
        <f>IFERROR(LN('list of the stocks'!AB6/'list of the stocks'!AA6),"")</f>
        <v/>
      </c>
      <c r="Z6" t="str">
        <f>IFERROR(LN('list of the stocks'!AC6/'list of the stocks'!AB6),"")</f>
        <v/>
      </c>
      <c r="AA6" t="str">
        <f>IFERROR(LN('list of the stocks'!AD6/'list of the stocks'!AC6),"")</f>
        <v/>
      </c>
      <c r="AB6" t="str">
        <f>IFERROR(LN('list of the stocks'!AE6/'list of the stocks'!AD6),"")</f>
        <v/>
      </c>
      <c r="AC6" t="str">
        <f>IFERROR(LN('list of the stocks'!AF6/'list of the stocks'!AE6),"")</f>
        <v/>
      </c>
      <c r="AD6" t="str">
        <f>IFERROR(LN('list of the stocks'!AG6/'list of the stocks'!AF6),"")</f>
        <v/>
      </c>
    </row>
    <row r="7" spans="2:30" x14ac:dyDescent="0.3">
      <c r="B7" t="s">
        <v>12</v>
      </c>
      <c r="C7" s="3">
        <f t="shared" ca="1" si="0"/>
        <v>3.908666225664132E-2</v>
      </c>
      <c r="D7" t="s">
        <v>13</v>
      </c>
      <c r="E7">
        <f ca="1">IFERROR(LN('list of the stocks'!H7/'list of the stocks'!G7),"")</f>
        <v>1.6136998425424685E-2</v>
      </c>
      <c r="F7">
        <f ca="1">IFERROR(LN('list of the stocks'!I7/'list of the stocks'!H7),"")</f>
        <v>2.0345059101043159E-3</v>
      </c>
      <c r="G7">
        <f ca="1">IFERROR(LN('list of the stocks'!J7/'list of the stocks'!I7),"")</f>
        <v>-2.7737771190968898E-2</v>
      </c>
      <c r="H7">
        <f ca="1">IFERROR(LN('list of the stocks'!K7/'list of the stocks'!J7),"")</f>
        <v>1.0207670516877522E-2</v>
      </c>
      <c r="I7">
        <f ca="1">IFERROR(LN('list of the stocks'!L7/'list of the stocks'!K7),"")</f>
        <v>-1.0270360546049068E-2</v>
      </c>
      <c r="J7">
        <f ca="1">IFERROR(LN('list of the stocks'!M7/'list of the stocks'!L7),"")</f>
        <v>-7.7831200049445952E-3</v>
      </c>
      <c r="K7">
        <f ca="1">IFERROR(LN('list of the stocks'!N7/'list of the stocks'!M7),"")</f>
        <v>3.301061649250175E-3</v>
      </c>
      <c r="L7">
        <f ca="1">IFERROR(LN('list of the stocks'!O7/'list of the stocks'!N7),"")</f>
        <v>-5.6692319709297919E-4</v>
      </c>
      <c r="M7">
        <f ca="1">IFERROR(LN('list of the stocks'!P7/'list of the stocks'!O7),"")</f>
        <v>1.6373660249112808E-2</v>
      </c>
      <c r="N7">
        <f ca="1">IFERROR(LN('list of the stocks'!Q7/'list of the stocks'!P7),"")</f>
        <v>4.0004177486467774E-3</v>
      </c>
      <c r="O7">
        <f ca="1">IFERROR(LN('list of the stocks'!R7/'list of the stocks'!Q7),"")</f>
        <v>-2.0600724190560451E-3</v>
      </c>
      <c r="P7">
        <f ca="1">IFERROR(LN('list of the stocks'!S7/'list of the stocks'!R7),"")</f>
        <v>3.9721385463826718E-3</v>
      </c>
      <c r="Q7">
        <f ca="1">IFERROR(LN('list of the stocks'!T7/'list of the stocks'!S7),"")</f>
        <v>2.4003211951340825E-3</v>
      </c>
      <c r="R7">
        <f ca="1">IFERROR(LN('list of the stocks'!U7/'list of the stocks'!T7),"")</f>
        <v>-6.3542170565724005E-4</v>
      </c>
      <c r="S7">
        <f ca="1">IFERROR(LN('list of the stocks'!V7/'list of the stocks'!U7),"")</f>
        <v>-1.2515261017451839E-3</v>
      </c>
      <c r="T7">
        <f ca="1">IFERROR(LN('list of the stocks'!W7/'list of the stocks'!V7),"")</f>
        <v>7.7982314280453015E-4</v>
      </c>
      <c r="U7">
        <f ca="1">IFERROR(LN('list of the stocks'!X7/'list of the stocks'!W7),"")</f>
        <v>-7.9497895768508298E-3</v>
      </c>
      <c r="V7">
        <f ca="1">IFERROR(LN('list of the stocks'!Y7/'list of the stocks'!X7),"")</f>
        <v>-2.2330943826937916E-2</v>
      </c>
      <c r="W7" t="str">
        <f ca="1">IFERROR(LN('list of the stocks'!Z7/'list of the stocks'!Y7),"")</f>
        <v/>
      </c>
      <c r="X7" t="str">
        <f>IFERROR(LN('list of the stocks'!AA7/'list of the stocks'!Z7),"")</f>
        <v/>
      </c>
      <c r="Y7" t="str">
        <f>IFERROR(LN('list of the stocks'!AB7/'list of the stocks'!AA7),"")</f>
        <v/>
      </c>
      <c r="Z7" t="str">
        <f>IFERROR(LN('list of the stocks'!AC7/'list of the stocks'!AB7),"")</f>
        <v/>
      </c>
      <c r="AA7" t="str">
        <f>IFERROR(LN('list of the stocks'!AD7/'list of the stocks'!AC7),"")</f>
        <v/>
      </c>
      <c r="AB7" t="str">
        <f>IFERROR(LN('list of the stocks'!AE7/'list of the stocks'!AD7),"")</f>
        <v/>
      </c>
      <c r="AC7" t="str">
        <f>IFERROR(LN('list of the stocks'!AF7/'list of the stocks'!AE7),"")</f>
        <v/>
      </c>
      <c r="AD7" t="str">
        <f>IFERROR(LN('list of the stocks'!AG7/'list of the stocks'!AF7),"")</f>
        <v/>
      </c>
    </row>
    <row r="8" spans="2:30" x14ac:dyDescent="0.3">
      <c r="B8" t="s">
        <v>14</v>
      </c>
      <c r="C8" s="3">
        <f t="shared" ca="1" si="0"/>
        <v>4.1145191158641431E-2</v>
      </c>
      <c r="D8" t="s">
        <v>5</v>
      </c>
      <c r="E8">
        <f ca="1">IFERROR(LN('list of the stocks'!H8/'list of the stocks'!G8),"")</f>
        <v>-1.1568421375822455E-2</v>
      </c>
      <c r="F8">
        <f ca="1">IFERROR(LN('list of the stocks'!I8/'list of the stocks'!H8),"")</f>
        <v>4.5293716536051049E-3</v>
      </c>
      <c r="G8">
        <f ca="1">IFERROR(LN('list of the stocks'!J8/'list of the stocks'!I8),"")</f>
        <v>1.6793955716592184E-2</v>
      </c>
      <c r="H8">
        <f ca="1">IFERROR(LN('list of the stocks'!K8/'list of the stocks'!J8),"")</f>
        <v>-6.4926860986361159E-3</v>
      </c>
      <c r="I8">
        <f ca="1">IFERROR(LN('list of the stocks'!L8/'list of the stocks'!K8),"")</f>
        <v>-1.7920605767718902E-2</v>
      </c>
      <c r="J8">
        <f ca="1">IFERROR(LN('list of the stocks'!M8/'list of the stocks'!L8),"")</f>
        <v>-1.6268493310335572E-2</v>
      </c>
      <c r="K8">
        <f ca="1">IFERROR(LN('list of the stocks'!N8/'list of the stocks'!M8),"")</f>
        <v>8.9867445578404765E-5</v>
      </c>
      <c r="L8">
        <f ca="1">IFERROR(LN('list of the stocks'!O8/'list of the stocks'!N8),"")</f>
        <v>-5.8130528922930788E-3</v>
      </c>
      <c r="M8">
        <f ca="1">IFERROR(LN('list of the stocks'!P8/'list of the stocks'!O8),"")</f>
        <v>2.450851417326317E-2</v>
      </c>
      <c r="N8">
        <f ca="1">IFERROR(LN('list of the stocks'!Q8/'list of the stocks'!P8),"")</f>
        <v>2.5984908149166322E-3</v>
      </c>
      <c r="O8">
        <f ca="1">IFERROR(LN('list of the stocks'!R8/'list of the stocks'!Q8),"")</f>
        <v>4.7391373967587821E-3</v>
      </c>
      <c r="P8">
        <f ca="1">IFERROR(LN('list of the stocks'!S8/'list of the stocks'!R8),"")</f>
        <v>1.6110820272698272E-2</v>
      </c>
      <c r="Q8">
        <f ca="1">IFERROR(LN('list of the stocks'!T8/'list of the stocks'!S8),"")</f>
        <v>1.0333248142393491E-3</v>
      </c>
      <c r="R8">
        <f ca="1">IFERROR(LN('list of the stocks'!U8/'list of the stocks'!T8),"")</f>
        <v>6.02280078434131E-4</v>
      </c>
      <c r="S8">
        <f ca="1">IFERROR(LN('list of the stocks'!V8/'list of the stocks'!U8),"")</f>
        <v>-1.9371925384825683E-3</v>
      </c>
      <c r="T8">
        <f ca="1">IFERROR(LN('list of the stocks'!W8/'list of the stocks'!V8),"")</f>
        <v>1.9801986668625008E-3</v>
      </c>
      <c r="U8">
        <f ca="1">IFERROR(LN('list of the stocks'!X8/'list of the stocks'!W8),"")</f>
        <v>-7.3810629692709958E-3</v>
      </c>
      <c r="V8">
        <f ca="1">IFERROR(LN('list of the stocks'!Y8/'list of the stocks'!X8),"")</f>
        <v>-1.8893241069169987E-2</v>
      </c>
      <c r="W8" t="str">
        <f ca="1">IFERROR(LN('list of the stocks'!Z8/'list of the stocks'!Y8),"")</f>
        <v/>
      </c>
      <c r="X8" t="str">
        <f>IFERROR(LN('list of the stocks'!AA8/'list of the stocks'!Z8),"")</f>
        <v/>
      </c>
      <c r="Y8" t="str">
        <f>IFERROR(LN('list of the stocks'!AB8/'list of the stocks'!AA8),"")</f>
        <v/>
      </c>
      <c r="Z8" t="str">
        <f>IFERROR(LN('list of the stocks'!AC8/'list of the stocks'!AB8),"")</f>
        <v/>
      </c>
      <c r="AA8" t="str">
        <f>IFERROR(LN('list of the stocks'!AD8/'list of the stocks'!AC8),"")</f>
        <v/>
      </c>
      <c r="AB8" t="str">
        <f>IFERROR(LN('list of the stocks'!AE8/'list of the stocks'!AD8),"")</f>
        <v/>
      </c>
      <c r="AC8" t="str">
        <f>IFERROR(LN('list of the stocks'!AF8/'list of the stocks'!AE8),"")</f>
        <v/>
      </c>
      <c r="AD8" t="str">
        <f>IFERROR(LN('list of the stocks'!AG8/'list of the stocks'!AF8),"")</f>
        <v/>
      </c>
    </row>
    <row r="9" spans="2:30" x14ac:dyDescent="0.3">
      <c r="B9" t="s">
        <v>15</v>
      </c>
      <c r="C9" s="3">
        <f t="shared" ca="1" si="0"/>
        <v>4.9846733069435566E-2</v>
      </c>
      <c r="D9" t="s">
        <v>3</v>
      </c>
      <c r="E9">
        <f ca="1">IFERROR(LN('list of the stocks'!H9/'list of the stocks'!G9),"")</f>
        <v>-2.3781022736427519E-2</v>
      </c>
      <c r="F9">
        <f ca="1">IFERROR(LN('list of the stocks'!I9/'list of the stocks'!H9),"")</f>
        <v>1.0653239624489172E-2</v>
      </c>
      <c r="G9">
        <f ca="1">IFERROR(LN('list of the stocks'!J9/'list of the stocks'!I9),"")</f>
        <v>9.8229225869471987E-3</v>
      </c>
      <c r="H9">
        <f ca="1">IFERROR(LN('list of the stocks'!K9/'list of the stocks'!J9),"")</f>
        <v>-2.4596586471193286E-2</v>
      </c>
      <c r="I9">
        <f ca="1">IFERROR(LN('list of the stocks'!L9/'list of the stocks'!K9),"")</f>
        <v>-1.0101095986503821E-2</v>
      </c>
      <c r="J9">
        <f ca="1">IFERROR(LN('list of the stocks'!M9/'list of the stocks'!L9),"")</f>
        <v>-3.4655343909737162E-3</v>
      </c>
      <c r="K9">
        <f ca="1">IFERROR(LN('list of the stocks'!N9/'list of the stocks'!M9),"")</f>
        <v>-5.3676994150042559E-3</v>
      </c>
      <c r="L9">
        <f ca="1">IFERROR(LN('list of the stocks'!O9/'list of the stocks'!N9),"")</f>
        <v>-3.2657181110891949E-2</v>
      </c>
      <c r="M9">
        <f ca="1">IFERROR(LN('list of the stocks'!P9/'list of the stocks'!O9),"")</f>
        <v>1.9160104141258894E-2</v>
      </c>
      <c r="N9">
        <f ca="1">IFERROR(LN('list of the stocks'!Q9/'list of the stocks'!P9),"")</f>
        <v>1.5419747139748535E-2</v>
      </c>
      <c r="O9">
        <f ca="1">IFERROR(LN('list of the stocks'!R9/'list of the stocks'!Q9),"")</f>
        <v>8.4935836572696839E-3</v>
      </c>
      <c r="P9">
        <f ca="1">IFERROR(LN('list of the stocks'!S9/'list of the stocks'!R9),"")</f>
        <v>1.464464670945752E-2</v>
      </c>
      <c r="Q9">
        <f ca="1">IFERROR(LN('list of the stocks'!T9/'list of the stocks'!S9),"")</f>
        <v>-8.2744578586494658E-4</v>
      </c>
      <c r="R9">
        <f ca="1">IFERROR(LN('list of the stocks'!U9/'list of the stocks'!T9),"")</f>
        <v>-1.8483115523231456E-3</v>
      </c>
      <c r="S9">
        <f ca="1">IFERROR(LN('list of the stocks'!V9/'list of the stocks'!U9),"")</f>
        <v>1.5947182963942837E-4</v>
      </c>
      <c r="T9">
        <f ca="1">IFERROR(LN('list of the stocks'!W9/'list of the stocks'!V9),"")</f>
        <v>9.2443544301940136E-4</v>
      </c>
      <c r="U9">
        <f ca="1">IFERROR(LN('list of the stocks'!X9/'list of the stocks'!W9),"")</f>
        <v>-2.7119742233875596E-3</v>
      </c>
      <c r="V9">
        <f ca="1">IFERROR(LN('list of the stocks'!Y9/'list of the stocks'!X9),"")</f>
        <v>6.8455254189657717E-3</v>
      </c>
      <c r="W9" t="str">
        <f ca="1">IFERROR(LN('list of the stocks'!Z9/'list of the stocks'!Y9),"")</f>
        <v/>
      </c>
      <c r="X9" t="str">
        <f>IFERROR(LN('list of the stocks'!AA9/'list of the stocks'!Z9),"")</f>
        <v/>
      </c>
      <c r="Y9" t="str">
        <f>IFERROR(LN('list of the stocks'!AB9/'list of the stocks'!AA9),"")</f>
        <v/>
      </c>
      <c r="Z9" t="str">
        <f>IFERROR(LN('list of the stocks'!AC9/'list of the stocks'!AB9),"")</f>
        <v/>
      </c>
      <c r="AA9" t="str">
        <f>IFERROR(LN('list of the stocks'!AD9/'list of the stocks'!AC9),"")</f>
        <v/>
      </c>
      <c r="AB9" t="str">
        <f>IFERROR(LN('list of the stocks'!AE9/'list of the stocks'!AD9),"")</f>
        <v/>
      </c>
      <c r="AC9" t="str">
        <f>IFERROR(LN('list of the stocks'!AF9/'list of the stocks'!AE9),"")</f>
        <v/>
      </c>
      <c r="AD9" t="str">
        <f>IFERROR(LN('list of the stocks'!AG9/'list of the stocks'!AF9),"")</f>
        <v/>
      </c>
    </row>
    <row r="10" spans="2:30" x14ac:dyDescent="0.3">
      <c r="B10" t="s">
        <v>16</v>
      </c>
      <c r="C10" s="3">
        <f t="shared" ca="1" si="0"/>
        <v>4.8805411181380265E-2</v>
      </c>
      <c r="D10" t="s">
        <v>4</v>
      </c>
      <c r="E10">
        <f ca="1">IFERROR(LN('list of the stocks'!H10/'list of the stocks'!G10),"")</f>
        <v>-2.4005928606769842E-2</v>
      </c>
      <c r="F10">
        <f ca="1">IFERROR(LN('list of the stocks'!I10/'list of the stocks'!H10),"")</f>
        <v>1.0439829080051139E-2</v>
      </c>
      <c r="G10">
        <f ca="1">IFERROR(LN('list of the stocks'!J10/'list of the stocks'!I10),"")</f>
        <v>1.0176213060452457E-2</v>
      </c>
      <c r="H10">
        <f ca="1">IFERROR(LN('list of the stocks'!K10/'list of the stocks'!J10),"")</f>
        <v>-2.3004007933383412E-2</v>
      </c>
      <c r="I10">
        <f ca="1">IFERROR(LN('list of the stocks'!L10/'list of the stocks'!K10),"")</f>
        <v>-1.018880365915289E-2</v>
      </c>
      <c r="J10">
        <f ca="1">IFERROR(LN('list of the stocks'!M10/'list of the stocks'!L10),"")</f>
        <v>-3.8719717966448123E-3</v>
      </c>
      <c r="K10">
        <f ca="1">IFERROR(LN('list of the stocks'!N10/'list of the stocks'!M10),"")</f>
        <v>-5.1535646028560223E-3</v>
      </c>
      <c r="L10">
        <f ca="1">IFERROR(LN('list of the stocks'!O10/'list of the stocks'!N10),"")</f>
        <v>-3.1927966617331931E-2</v>
      </c>
      <c r="M10">
        <f ca="1">IFERROR(LN('list of the stocks'!P10/'list of the stocks'!O10),"")</f>
        <v>1.8910186134111575E-2</v>
      </c>
      <c r="N10">
        <f ca="1">IFERROR(LN('list of the stocks'!Q10/'list of the stocks'!P10),"")</f>
        <v>1.5873349156290163E-2</v>
      </c>
      <c r="O10">
        <f ca="1">IFERROR(LN('list of the stocks'!R10/'list of the stocks'!Q10),"")</f>
        <v>8.7750990542523818E-3</v>
      </c>
      <c r="P10">
        <f ca="1">IFERROR(LN('list of the stocks'!S10/'list of the stocks'!R10),"")</f>
        <v>1.3875599409004341E-2</v>
      </c>
      <c r="Q10">
        <f ca="1">IFERROR(LN('list of the stocks'!T10/'list of the stocks'!S10),"")</f>
        <v>-3.1678149998700246E-5</v>
      </c>
      <c r="R10">
        <f ca="1">IFERROR(LN('list of the stocks'!U10/'list of the stocks'!T10),"")</f>
        <v>-2.25171748882461E-3</v>
      </c>
      <c r="S10">
        <f ca="1">IFERROR(LN('list of the stocks'!V10/'list of the stocks'!U10),"")</f>
        <v>-1.8113932020477643E-3</v>
      </c>
      <c r="T10">
        <f ca="1">IFERROR(LN('list of the stocks'!W10/'list of the stocks'!V10),"")</f>
        <v>5.0879258260444818E-4</v>
      </c>
      <c r="U10">
        <f ca="1">IFERROR(LN('list of the stocks'!X10/'list of the stocks'!W10),"")</f>
        <v>-2.3872057171064644E-3</v>
      </c>
      <c r="V10">
        <f ca="1">IFERROR(LN('list of the stocks'!Y10/'list of the stocks'!X10),"")</f>
        <v>4.8321558927751362E-3</v>
      </c>
      <c r="W10" t="str">
        <f ca="1">IFERROR(LN('list of the stocks'!Z10/'list of the stocks'!Y10),"")</f>
        <v/>
      </c>
      <c r="X10" t="str">
        <f>IFERROR(LN('list of the stocks'!AA10/'list of the stocks'!Z10),"")</f>
        <v/>
      </c>
      <c r="Y10" t="str">
        <f>IFERROR(LN('list of the stocks'!AB10/'list of the stocks'!AA10),"")</f>
        <v/>
      </c>
      <c r="Z10" t="str">
        <f>IFERROR(LN('list of the stocks'!AC10/'list of the stocks'!AB10),"")</f>
        <v/>
      </c>
      <c r="AA10" t="str">
        <f>IFERROR(LN('list of the stocks'!AD10/'list of the stocks'!AC10),"")</f>
        <v/>
      </c>
      <c r="AB10" t="str">
        <f>IFERROR(LN('list of the stocks'!AE10/'list of the stocks'!AD10),"")</f>
        <v/>
      </c>
      <c r="AC10" t="str">
        <f>IFERROR(LN('list of the stocks'!AF10/'list of the stocks'!AE10),"")</f>
        <v/>
      </c>
      <c r="AD10" t="str">
        <f>IFERROR(LN('list of the stocks'!AG10/'list of the stocks'!AF10),"")</f>
        <v/>
      </c>
    </row>
    <row r="11" spans="2:30" x14ac:dyDescent="0.3">
      <c r="B11" t="s">
        <v>17</v>
      </c>
      <c r="C11" s="3">
        <f t="shared" ca="1" si="0"/>
        <v>3.8368673502311927E-2</v>
      </c>
      <c r="D11" t="s">
        <v>18</v>
      </c>
      <c r="E11">
        <f ca="1">IFERROR(LN('list of the stocks'!H11/'list of the stocks'!G11),"")</f>
        <v>-9.8790554389980613E-3</v>
      </c>
      <c r="F11">
        <f ca="1">IFERROR(LN('list of the stocks'!I11/'list of the stocks'!H11),"")</f>
        <v>-1.4867017046070059E-2</v>
      </c>
      <c r="G11">
        <f ca="1">IFERROR(LN('list of the stocks'!J11/'list of the stocks'!I11),"")</f>
        <v>-1.0450790938219707E-2</v>
      </c>
      <c r="H11">
        <f ca="1">IFERROR(LN('list of the stocks'!K11/'list of the stocks'!J11),"")</f>
        <v>3.9605836058718043E-3</v>
      </c>
      <c r="I11">
        <f ca="1">IFERROR(LN('list of the stocks'!L11/'list of the stocks'!K11),"")</f>
        <v>-1.3077121297054007E-2</v>
      </c>
      <c r="J11">
        <f ca="1">IFERROR(LN('list of the stocks'!M11/'list of the stocks'!L11),"")</f>
        <v>5.0784322687122824E-3</v>
      </c>
      <c r="K11">
        <f ca="1">IFERROR(LN('list of the stocks'!N11/'list of the stocks'!M11),"")</f>
        <v>1.4778065458137809E-2</v>
      </c>
      <c r="L11">
        <f ca="1">IFERROR(LN('list of the stocks'!O11/'list of the stocks'!N11),"")</f>
        <v>-1.1709466817362844E-2</v>
      </c>
      <c r="M11">
        <f ca="1">IFERROR(LN('list of the stocks'!P11/'list of the stocks'!O11),"")</f>
        <v>2.2756794666862507E-2</v>
      </c>
      <c r="N11">
        <f ca="1">IFERROR(LN('list of the stocks'!Q11/'list of the stocks'!P11),"")</f>
        <v>-8.5851708515070797E-3</v>
      </c>
      <c r="O11">
        <f ca="1">IFERROR(LN('list of the stocks'!R11/'list of the stocks'!Q11),"")</f>
        <v>4.1355236290006748E-3</v>
      </c>
      <c r="P11">
        <f ca="1">IFERROR(LN('list of the stocks'!S11/'list of the stocks'!R11),"")</f>
        <v>5.1868274663629558E-3</v>
      </c>
      <c r="Q11">
        <f ca="1">IFERROR(LN('list of the stocks'!T11/'list of the stocks'!S11),"")</f>
        <v>3.9174828147305616E-3</v>
      </c>
      <c r="R11">
        <f ca="1">IFERROR(LN('list of the stocks'!U11/'list of the stocks'!T11),"")</f>
        <v>-6.4019935527188186E-3</v>
      </c>
      <c r="S11">
        <f ca="1">IFERROR(LN('list of the stocks'!V11/'list of the stocks'!U11),"")</f>
        <v>-6.9592861699211044E-3</v>
      </c>
      <c r="T11">
        <f ca="1">IFERROR(LN('list of the stocks'!W11/'list of the stocks'!V11),"")</f>
        <v>1.0961578533575555E-2</v>
      </c>
      <c r="U11">
        <f ca="1">IFERROR(LN('list of the stocks'!X11/'list of the stocks'!W11),"")</f>
        <v>-8.8384032868801966E-3</v>
      </c>
      <c r="V11">
        <f ca="1">IFERROR(LN('list of the stocks'!Y11/'list of the stocks'!X11),"")</f>
        <v>-1.4773256091003549E-2</v>
      </c>
      <c r="W11" t="str">
        <f ca="1">IFERROR(LN('list of the stocks'!Z11/'list of the stocks'!Y11),"")</f>
        <v/>
      </c>
      <c r="X11" t="str">
        <f>IFERROR(LN('list of the stocks'!AA11/'list of the stocks'!Z11),"")</f>
        <v/>
      </c>
      <c r="Y11" t="str">
        <f>IFERROR(LN('list of the stocks'!AB11/'list of the stocks'!AA11),"")</f>
        <v/>
      </c>
      <c r="Z11" t="str">
        <f>IFERROR(LN('list of the stocks'!AC11/'list of the stocks'!AB11),"")</f>
        <v/>
      </c>
      <c r="AA11" t="str">
        <f>IFERROR(LN('list of the stocks'!AD11/'list of the stocks'!AC11),"")</f>
        <v/>
      </c>
      <c r="AB11" t="str">
        <f>IFERROR(LN('list of the stocks'!AE11/'list of the stocks'!AD11),"")</f>
        <v/>
      </c>
      <c r="AC11" t="str">
        <f>IFERROR(LN('list of the stocks'!AF11/'list of the stocks'!AE11),"")</f>
        <v/>
      </c>
      <c r="AD11" t="str">
        <f>IFERROR(LN('list of the stocks'!AG11/'list of the stocks'!AF11),"")</f>
        <v/>
      </c>
    </row>
    <row r="12" spans="2:30" x14ac:dyDescent="0.3">
      <c r="B12" t="s">
        <v>19</v>
      </c>
      <c r="C12" s="3">
        <f t="shared" ca="1" si="0"/>
        <v>0.12668012314117008</v>
      </c>
      <c r="D12" t="s">
        <v>7</v>
      </c>
      <c r="E12">
        <f ca="1">IFERROR(LN('list of the stocks'!H12/'list of the stocks'!G12),"")</f>
        <v>2.7448838308397016E-2</v>
      </c>
      <c r="F12">
        <f ca="1">IFERROR(LN('list of the stocks'!I12/'list of the stocks'!H12),"")</f>
        <v>1.2856417559382577E-2</v>
      </c>
      <c r="G12">
        <f ca="1">IFERROR(LN('list of the stocks'!J12/'list of the stocks'!I12),"")</f>
        <v>1.6307760762105217E-2</v>
      </c>
      <c r="H12">
        <f ca="1">IFERROR(LN('list of the stocks'!K12/'list of the stocks'!J12),"")</f>
        <v>-1.6110876455609453E-2</v>
      </c>
      <c r="I12">
        <f ca="1">IFERROR(LN('list of the stocks'!L12/'list of the stocks'!K12),"")</f>
        <v>-0.12135450654294602</v>
      </c>
      <c r="J12">
        <f ca="1">IFERROR(LN('list of the stocks'!M12/'list of the stocks'!L12),"")</f>
        <v>-5.7522930218207396E-2</v>
      </c>
      <c r="K12">
        <f ca="1">IFERROR(LN('list of the stocks'!N12/'list of the stocks'!M12),"")</f>
        <v>4.3752180319294827E-3</v>
      </c>
      <c r="L12">
        <f ca="1">IFERROR(LN('list of the stocks'!O12/'list of the stocks'!N12),"")</f>
        <v>-4.5803126734517773E-2</v>
      </c>
      <c r="M12">
        <f ca="1">IFERROR(LN('list of the stocks'!P12/'list of the stocks'!O12),"")</f>
        <v>1.1770222787010912E-2</v>
      </c>
      <c r="N12">
        <f ca="1">IFERROR(LN('list of the stocks'!Q12/'list of the stocks'!P12),"")</f>
        <v>3.127492901620206E-2</v>
      </c>
      <c r="O12">
        <f ca="1">IFERROR(LN('list of the stocks'!R12/'list of the stocks'!Q12),"")</f>
        <v>3.1973744257416808E-3</v>
      </c>
      <c r="P12">
        <f ca="1">IFERROR(LN('list of the stocks'!S12/'list of the stocks'!R12),"")</f>
        <v>2.2787152138433915E-2</v>
      </c>
      <c r="Q12">
        <f ca="1">IFERROR(LN('list of the stocks'!T12/'list of the stocks'!S12),"")</f>
        <v>2.5731208982226156E-3</v>
      </c>
      <c r="R12">
        <f ca="1">IFERROR(LN('list of the stocks'!U12/'list of the stocks'!T12),"")</f>
        <v>5.4388971549874151E-3</v>
      </c>
      <c r="S12">
        <f ca="1">IFERROR(LN('list of the stocks'!V12/'list of the stocks'!U12),"")</f>
        <v>-7.811648800632438E-3</v>
      </c>
      <c r="T12">
        <f ca="1">IFERROR(LN('list of the stocks'!W12/'list of the stocks'!V12),"")</f>
        <v>1.3157143937962861E-3</v>
      </c>
      <c r="U12">
        <f ca="1">IFERROR(LN('list of the stocks'!X12/'list of the stocks'!W12),"")</f>
        <v>-1.0776740550607193E-2</v>
      </c>
      <c r="V12">
        <f ca="1">IFERROR(LN('list of the stocks'!Y12/'list of the stocks'!X12),"")</f>
        <v>4.3821784940352758E-3</v>
      </c>
      <c r="W12" t="str">
        <f ca="1">IFERROR(LN('list of the stocks'!Z12/'list of the stocks'!Y12),"")</f>
        <v/>
      </c>
      <c r="X12" t="str">
        <f>IFERROR(LN('list of the stocks'!AA12/'list of the stocks'!Z12),"")</f>
        <v/>
      </c>
      <c r="Y12" t="str">
        <f>IFERROR(LN('list of the stocks'!AB12/'list of the stocks'!AA12),"")</f>
        <v/>
      </c>
      <c r="Z12" t="str">
        <f>IFERROR(LN('list of the stocks'!AC12/'list of the stocks'!AB12),"")</f>
        <v/>
      </c>
      <c r="AA12" t="str">
        <f>IFERROR(LN('list of the stocks'!AD12/'list of the stocks'!AC12),"")</f>
        <v/>
      </c>
      <c r="AB12" t="str">
        <f>IFERROR(LN('list of the stocks'!AE12/'list of the stocks'!AD12),"")</f>
        <v/>
      </c>
      <c r="AC12" t="str">
        <f>IFERROR(LN('list of the stocks'!AF12/'list of the stocks'!AE12),"")</f>
        <v/>
      </c>
      <c r="AD12" t="str">
        <f>IFERROR(LN('list of the stocks'!AG12/'list of the stocks'!AF12),"")</f>
        <v/>
      </c>
    </row>
    <row r="13" spans="2:30" x14ac:dyDescent="0.3">
      <c r="B13" t="s">
        <v>20</v>
      </c>
      <c r="C13" s="3">
        <f t="shared" ca="1" si="0"/>
        <v>8.6455393825078011E-2</v>
      </c>
      <c r="D13" t="s">
        <v>21</v>
      </c>
      <c r="E13">
        <f ca="1">IFERROR(LN('list of the stocks'!H13/'list of the stocks'!G13),"")</f>
        <v>-3.4477693361822714E-2</v>
      </c>
      <c r="F13">
        <f ca="1">IFERROR(LN('list of the stocks'!I13/'list of the stocks'!H13),"")</f>
        <v>1.2636506097017067E-2</v>
      </c>
      <c r="G13">
        <f ca="1">IFERROR(LN('list of the stocks'!J13/'list of the stocks'!I13),"")</f>
        <v>1.4008393067343273E-2</v>
      </c>
      <c r="H13">
        <f ca="1">IFERROR(LN('list of the stocks'!K13/'list of the stocks'!J13),"")</f>
        <v>-1.0152145434989745E-2</v>
      </c>
      <c r="I13">
        <f ca="1">IFERROR(LN('list of the stocks'!L13/'list of the stocks'!K13),"")</f>
        <v>2.665058097511722E-2</v>
      </c>
      <c r="J13">
        <f ca="1">IFERROR(LN('list of the stocks'!M13/'list of the stocks'!L13),"")</f>
        <v>3.5004162448596721E-2</v>
      </c>
      <c r="K13">
        <f ca="1">IFERROR(LN('list of the stocks'!N13/'list of the stocks'!M13),"")</f>
        <v>3.0193240410874244E-2</v>
      </c>
      <c r="L13">
        <f ca="1">IFERROR(LN('list of the stocks'!O13/'list of the stocks'!N13),"")</f>
        <v>-4.7274615227275441E-2</v>
      </c>
      <c r="M13">
        <f ca="1">IFERROR(LN('list of the stocks'!P13/'list of the stocks'!O13),"")</f>
        <v>3.3896558012283605E-2</v>
      </c>
      <c r="N13">
        <f ca="1">IFERROR(LN('list of the stocks'!Q13/'list of the stocks'!P13),"")</f>
        <v>-4.4994218375708573E-3</v>
      </c>
      <c r="O13">
        <f ca="1">IFERROR(LN('list of the stocks'!R13/'list of the stocks'!Q13),"")</f>
        <v>1.5527205645663913E-2</v>
      </c>
      <c r="P13">
        <f ca="1">IFERROR(LN('list of the stocks'!S13/'list of the stocks'!R13),"")</f>
        <v>-6.5073257165847677E-3</v>
      </c>
      <c r="Q13">
        <f ca="1">IFERROR(LN('list of the stocks'!T13/'list of the stocks'!S13),"")</f>
        <v>-3.2957073710190474E-4</v>
      </c>
      <c r="R13">
        <f ca="1">IFERROR(LN('list of the stocks'!U13/'list of the stocks'!T13),"")</f>
        <v>-2.125856923653283E-2</v>
      </c>
      <c r="S13">
        <f ca="1">IFERROR(LN('list of the stocks'!V13/'list of the stocks'!U13),"")</f>
        <v>-3.3271149666535153E-2</v>
      </c>
      <c r="T13">
        <f ca="1">IFERROR(LN('list of the stocks'!W13/'list of the stocks'!V13),"")</f>
        <v>-1.1399688035029425E-2</v>
      </c>
      <c r="U13">
        <f ca="1">IFERROR(LN('list of the stocks'!X13/'list of the stocks'!W13),"")</f>
        <v>-1.0418719472844623E-2</v>
      </c>
      <c r="V13">
        <f ca="1">IFERROR(LN('list of the stocks'!Y13/'list of the stocks'!X13),"")</f>
        <v>-2.6246451922947098E-2</v>
      </c>
      <c r="W13" t="str">
        <f ca="1">IFERROR(LN('list of the stocks'!Z13/'list of the stocks'!Y13),"")</f>
        <v/>
      </c>
      <c r="X13" t="str">
        <f>IFERROR(LN('list of the stocks'!AA13/'list of the stocks'!Z13),"")</f>
        <v/>
      </c>
      <c r="Y13" t="str">
        <f>IFERROR(LN('list of the stocks'!AB13/'list of the stocks'!AA13),"")</f>
        <v/>
      </c>
      <c r="Z13" t="str">
        <f>IFERROR(LN('list of the stocks'!AC13/'list of the stocks'!AB13),"")</f>
        <v/>
      </c>
      <c r="AA13" t="str">
        <f>IFERROR(LN('list of the stocks'!AD13/'list of the stocks'!AC13),"")</f>
        <v/>
      </c>
      <c r="AB13" t="str">
        <f>IFERROR(LN('list of the stocks'!AE13/'list of the stocks'!AD13),"")</f>
        <v/>
      </c>
      <c r="AC13" t="str">
        <f>IFERROR(LN('list of the stocks'!AF13/'list of the stocks'!AE13),"")</f>
        <v/>
      </c>
      <c r="AD13" t="str">
        <f>IFERROR(LN('list of the stocks'!AG13/'list of the stocks'!AF13),"")</f>
        <v/>
      </c>
    </row>
    <row r="14" spans="2:30" x14ac:dyDescent="0.3">
      <c r="B14" t="s">
        <v>22</v>
      </c>
      <c r="C14" s="3">
        <f t="shared" ca="1" si="0"/>
        <v>0.10006409211538794</v>
      </c>
      <c r="D14" t="s">
        <v>23</v>
      </c>
      <c r="E14">
        <f ca="1">IFERROR(LN('list of the stocks'!H14/'list of the stocks'!G14),"")</f>
        <v>-1.486579764477227E-3</v>
      </c>
      <c r="F14">
        <f ca="1">IFERROR(LN('list of the stocks'!I14/'list of the stocks'!H14),"")</f>
        <v>1.9266237759783757E-3</v>
      </c>
      <c r="G14">
        <f ca="1">IFERROR(LN('list of the stocks'!J14/'list of the stocks'!I14),"")</f>
        <v>3.2835945256773323E-2</v>
      </c>
      <c r="H14">
        <f ca="1">IFERROR(LN('list of the stocks'!K14/'list of the stocks'!J14),"")</f>
        <v>-1.9709688095821635E-3</v>
      </c>
      <c r="I14">
        <f ca="1">IFERROR(LN('list of the stocks'!L14/'list of the stocks'!K14),"")</f>
        <v>-2.1396089848920222E-2</v>
      </c>
      <c r="J14">
        <f ca="1">IFERROR(LN('list of the stocks'!M14/'list of the stocks'!L14),"")</f>
        <v>-1.7447253757979782E-3</v>
      </c>
      <c r="K14">
        <f ca="1">IFERROR(LN('list of the stocks'!N14/'list of the stocks'!M14),"")</f>
        <v>2.4259949877483245E-2</v>
      </c>
      <c r="L14">
        <f ca="1">IFERROR(LN('list of the stocks'!O14/'list of the stocks'!N14),"")</f>
        <v>-5.732448073395506E-2</v>
      </c>
      <c r="M14">
        <f ca="1">IFERROR(LN('list of the stocks'!P14/'list of the stocks'!O14),"")</f>
        <v>4.6291806702215138E-2</v>
      </c>
      <c r="N14">
        <f ca="1">IFERROR(LN('list of the stocks'!Q14/'list of the stocks'!P14),"")</f>
        <v>4.0578548442897336E-2</v>
      </c>
      <c r="O14">
        <f ca="1">IFERROR(LN('list of the stocks'!R14/'list of the stocks'!Q14),"")</f>
        <v>3.0978959099951984E-3</v>
      </c>
      <c r="P14">
        <f ca="1">IFERROR(LN('list of the stocks'!S14/'list of the stocks'!R14),"")</f>
        <v>7.7297677188764428E-4</v>
      </c>
      <c r="Q14">
        <f ca="1">IFERROR(LN('list of the stocks'!T14/'list of the stocks'!S14),"")</f>
        <v>2.0602626907799304E-4</v>
      </c>
      <c r="R14">
        <f ca="1">IFERROR(LN('list of the stocks'!U14/'list of the stocks'!T14),"")</f>
        <v>-2.8522618865357924E-2</v>
      </c>
      <c r="S14">
        <f ca="1">IFERROR(LN('list of the stocks'!V14/'list of the stocks'!U14),"")</f>
        <v>-2.429790484778338E-2</v>
      </c>
      <c r="T14">
        <f ca="1">IFERROR(LN('list of the stocks'!W14/'list of the stocks'!V14),"")</f>
        <v>-1.8300877866816626E-2</v>
      </c>
      <c r="U14">
        <f ca="1">IFERROR(LN('list of the stocks'!X14/'list of the stocks'!W14),"")</f>
        <v>-1.7234593743054145E-2</v>
      </c>
      <c r="V14">
        <f ca="1">IFERROR(LN('list of the stocks'!Y14/'list of the stocks'!X14),"")</f>
        <v>-5.724777002866871E-2</v>
      </c>
      <c r="W14" t="str">
        <f ca="1">IFERROR(LN('list of the stocks'!Z14/'list of the stocks'!Y14),"")</f>
        <v/>
      </c>
      <c r="X14" t="str">
        <f>IFERROR(LN('list of the stocks'!AA14/'list of the stocks'!Z14),"")</f>
        <v/>
      </c>
      <c r="Y14" t="str">
        <f>IFERROR(LN('list of the stocks'!AB14/'list of the stocks'!AA14),"")</f>
        <v/>
      </c>
      <c r="Z14" t="str">
        <f>IFERROR(LN('list of the stocks'!AC14/'list of the stocks'!AB14),"")</f>
        <v/>
      </c>
      <c r="AA14" t="str">
        <f>IFERROR(LN('list of the stocks'!AD14/'list of the stocks'!AC14),"")</f>
        <v/>
      </c>
      <c r="AB14" t="str">
        <f>IFERROR(LN('list of the stocks'!AE14/'list of the stocks'!AD14),"")</f>
        <v/>
      </c>
      <c r="AC14" t="str">
        <f>IFERROR(LN('list of the stocks'!AF14/'list of the stocks'!AE14),"")</f>
        <v/>
      </c>
      <c r="AD14" t="str">
        <f>IFERROR(LN('list of the stocks'!AG14/'list of the stocks'!AF14),"")</f>
        <v/>
      </c>
    </row>
    <row r="15" spans="2:30" x14ac:dyDescent="0.3">
      <c r="B15" t="s">
        <v>24</v>
      </c>
      <c r="C15" s="3">
        <f t="shared" ca="1" si="0"/>
        <v>9.6704608248157742E-2</v>
      </c>
      <c r="D15" t="s">
        <v>25</v>
      </c>
      <c r="E15">
        <f ca="1">IFERROR(LN('list of the stocks'!H15/'list of the stocks'!G15),"")</f>
        <v>1.8223615769653485E-2</v>
      </c>
      <c r="F15">
        <f ca="1">IFERROR(LN('list of the stocks'!I15/'list of the stocks'!H15),"")</f>
        <v>-7.3953894220127854E-3</v>
      </c>
      <c r="G15">
        <f ca="1">IFERROR(LN('list of the stocks'!J15/'list of the stocks'!I15),"")</f>
        <v>7.0648862055304636E-3</v>
      </c>
      <c r="H15">
        <f ca="1">IFERROR(LN('list of the stocks'!K15/'list of the stocks'!J15),"")</f>
        <v>3.1398320296850859E-3</v>
      </c>
      <c r="I15">
        <f ca="1">IFERROR(LN('list of the stocks'!L15/'list of the stocks'!K15),"")</f>
        <v>-3.8113421471760167E-2</v>
      </c>
      <c r="J15">
        <f ca="1">IFERROR(LN('list of the stocks'!M15/'list of the stocks'!L15),"")</f>
        <v>6.427924948454484E-3</v>
      </c>
      <c r="K15">
        <f ca="1">IFERROR(LN('list of the stocks'!N15/'list of the stocks'!M15),"")</f>
        <v>-1.0878764508922282E-2</v>
      </c>
      <c r="L15">
        <f ca="1">IFERROR(LN('list of the stocks'!O15/'list of the stocks'!N15),"")</f>
        <v>-5.7984760959851361E-2</v>
      </c>
      <c r="M15">
        <f ca="1">IFERROR(LN('list of the stocks'!P15/'list of the stocks'!O15),"")</f>
        <v>2.0354158775204308E-2</v>
      </c>
      <c r="N15">
        <f ca="1">IFERROR(LN('list of the stocks'!Q15/'list of the stocks'!P15),"")</f>
        <v>1.884079762185124E-2</v>
      </c>
      <c r="O15">
        <f ca="1">IFERROR(LN('list of the stocks'!R15/'list of the stocks'!Q15),"")</f>
        <v>9.0866073455115009E-4</v>
      </c>
      <c r="P15">
        <f ca="1">IFERROR(LN('list of the stocks'!S15/'list of the stocks'!R15),"")</f>
        <v>4.5874671025977086E-3</v>
      </c>
      <c r="Q15">
        <f ca="1">IFERROR(LN('list of the stocks'!T15/'list of the stocks'!S15),"")</f>
        <v>3.4596905748282961E-3</v>
      </c>
      <c r="R15">
        <f ca="1">IFERROR(LN('list of the stocks'!U15/'list of the stocks'!T15),"")</f>
        <v>6.7625019788590214E-3</v>
      </c>
      <c r="S15">
        <f ca="1">IFERROR(LN('list of the stocks'!V15/'list of the stocks'!U15),"")</f>
        <v>-6.3168095883640958E-3</v>
      </c>
      <c r="T15">
        <f ca="1">IFERROR(LN('list of the stocks'!W15/'list of the stocks'!V15),"")</f>
        <v>5.7480158353551084E-3</v>
      </c>
      <c r="U15">
        <f ca="1">IFERROR(LN('list of the stocks'!X15/'list of the stocks'!W15),"")</f>
        <v>-2.1288523446147899E-3</v>
      </c>
      <c r="V15">
        <f ca="1">IFERROR(LN('list of the stocks'!Y15/'list of the stocks'!X15),"")</f>
        <v>8.4145529217546505E-2</v>
      </c>
      <c r="W15" t="str">
        <f ca="1">IFERROR(LN('list of the stocks'!Z15/'list of the stocks'!Y15),"")</f>
        <v/>
      </c>
      <c r="X15" t="str">
        <f>IFERROR(LN('list of the stocks'!AA15/'list of the stocks'!Z15),"")</f>
        <v/>
      </c>
      <c r="Y15" t="str">
        <f>IFERROR(LN('list of the stocks'!AB15/'list of the stocks'!AA15),"")</f>
        <v/>
      </c>
      <c r="Z15" t="str">
        <f>IFERROR(LN('list of the stocks'!AC15/'list of the stocks'!AB15),"")</f>
        <v/>
      </c>
      <c r="AA15" t="str">
        <f>IFERROR(LN('list of the stocks'!AD15/'list of the stocks'!AC15),"")</f>
        <v/>
      </c>
      <c r="AB15" t="str">
        <f>IFERROR(LN('list of the stocks'!AE15/'list of the stocks'!AD15),"")</f>
        <v/>
      </c>
      <c r="AC15" t="str">
        <f>IFERROR(LN('list of the stocks'!AF15/'list of the stocks'!AE15),"")</f>
        <v/>
      </c>
      <c r="AD15" t="str">
        <f>IFERROR(LN('list of the stocks'!AG15/'list of the stocks'!AF15),"")</f>
        <v/>
      </c>
    </row>
    <row r="16" spans="2:30" x14ac:dyDescent="0.3">
      <c r="B16" t="s">
        <v>26</v>
      </c>
      <c r="C16" s="3">
        <f t="shared" ca="1" si="0"/>
        <v>5.5747350970857652E-2</v>
      </c>
      <c r="D16" t="s">
        <v>27</v>
      </c>
      <c r="E16">
        <f ca="1">IFERROR(LN('list of the stocks'!H16/'list of the stocks'!G16),"")</f>
        <v>-3.5023627426815494E-2</v>
      </c>
      <c r="F16">
        <f ca="1">IFERROR(LN('list of the stocks'!I16/'list of the stocks'!H16),"")</f>
        <v>-8.2687343212551451E-4</v>
      </c>
      <c r="G16">
        <f ca="1">IFERROR(LN('list of the stocks'!J16/'list of the stocks'!I16),"")</f>
        <v>-4.2240468109980819E-2</v>
      </c>
      <c r="H16">
        <f ca="1">IFERROR(LN('list of the stocks'!K16/'list of the stocks'!J16),"")</f>
        <v>1.4775429399783317E-2</v>
      </c>
      <c r="I16">
        <f ca="1">IFERROR(LN('list of the stocks'!L16/'list of the stocks'!K16),"")</f>
        <v>1.1623123244539549E-2</v>
      </c>
      <c r="J16">
        <f ca="1">IFERROR(LN('list of the stocks'!M16/'list of the stocks'!L16),"")</f>
        <v>-1.5029918831680127E-2</v>
      </c>
      <c r="K16">
        <f ca="1">IFERROR(LN('list of the stocks'!N16/'list of the stocks'!M16),"")</f>
        <v>8.4953255958869558E-3</v>
      </c>
      <c r="L16">
        <f ca="1">IFERROR(LN('list of the stocks'!O16/'list of the stocks'!N16),"")</f>
        <v>2.3236174375296684E-3</v>
      </c>
      <c r="M16">
        <f ca="1">IFERROR(LN('list of the stocks'!P16/'list of the stocks'!O16),"")</f>
        <v>-8.3691361949463552E-3</v>
      </c>
      <c r="N16">
        <f ca="1">IFERROR(LN('list of the stocks'!Q16/'list of the stocks'!P16),"")</f>
        <v>4.1403530668491038E-3</v>
      </c>
      <c r="O16">
        <f ca="1">IFERROR(LN('list of the stocks'!R16/'list of the stocks'!Q16),"")</f>
        <v>-1.2365577028250726E-2</v>
      </c>
      <c r="P16">
        <f ca="1">IFERROR(LN('list of the stocks'!S16/'list of the stocks'!R16),"")</f>
        <v>2.8918779860390141E-3</v>
      </c>
      <c r="Q16">
        <f ca="1">IFERROR(LN('list of the stocks'!T16/'list of the stocks'!S16),"")</f>
        <v>1.4962063280686722E-3</v>
      </c>
      <c r="R16">
        <f ca="1">IFERROR(LN('list of the stocks'!U16/'list of the stocks'!T16),"")</f>
        <v>8.8246811583329674E-3</v>
      </c>
      <c r="S16">
        <f ca="1">IFERROR(LN('list of the stocks'!V16/'list of the stocks'!U16),"")</f>
        <v>-3.3930686778814488E-3</v>
      </c>
      <c r="T16">
        <f ca="1">IFERROR(LN('list of the stocks'!W16/'list of the stocks'!V16),"")</f>
        <v>-3.9376414417212745E-3</v>
      </c>
      <c r="U16">
        <f ca="1">IFERROR(LN('list of the stocks'!X16/'list of the stocks'!W16),"")</f>
        <v>-2.1328783273768915E-4</v>
      </c>
      <c r="V16">
        <f ca="1">IFERROR(LN('list of the stocks'!Y16/'list of the stocks'!X16),"")</f>
        <v>-2.9988715460103142E-2</v>
      </c>
      <c r="W16" t="str">
        <f ca="1">IFERROR(LN('list of the stocks'!Z16/'list of the stocks'!Y16),"")</f>
        <v/>
      </c>
      <c r="X16" t="str">
        <f>IFERROR(LN('list of the stocks'!AA16/'list of the stocks'!Z16),"")</f>
        <v/>
      </c>
      <c r="Y16" t="str">
        <f>IFERROR(LN('list of the stocks'!AB16/'list of the stocks'!AA16),"")</f>
        <v/>
      </c>
      <c r="Z16" t="str">
        <f>IFERROR(LN('list of the stocks'!AC16/'list of the stocks'!AB16),"")</f>
        <v/>
      </c>
      <c r="AA16" t="str">
        <f>IFERROR(LN('list of the stocks'!AD16/'list of the stocks'!AC16),"")</f>
        <v/>
      </c>
      <c r="AB16" t="str">
        <f>IFERROR(LN('list of the stocks'!AE16/'list of the stocks'!AD16),"")</f>
        <v/>
      </c>
      <c r="AC16" t="str">
        <f>IFERROR(LN('list of the stocks'!AF16/'list of the stocks'!AE16),"")</f>
        <v/>
      </c>
      <c r="AD16" t="str">
        <f>IFERROR(LN('list of the stocks'!AG16/'list of the stocks'!AF16),"")</f>
        <v/>
      </c>
    </row>
    <row r="17" spans="2:30" x14ac:dyDescent="0.3">
      <c r="B17" t="s">
        <v>28</v>
      </c>
      <c r="C17" s="3">
        <f t="shared" ca="1" si="0"/>
        <v>3.5087652895286342E-2</v>
      </c>
      <c r="D17" t="s">
        <v>29</v>
      </c>
      <c r="E17">
        <f ca="1">IFERROR(LN('list of the stocks'!H17/'list of the stocks'!G17),"")</f>
        <v>-8.0350561351450241E-3</v>
      </c>
      <c r="F17">
        <f ca="1">IFERROR(LN('list of the stocks'!I17/'list of the stocks'!H17),"")</f>
        <v>1.0360594633838304E-3</v>
      </c>
      <c r="G17">
        <f ca="1">IFERROR(LN('list of the stocks'!J17/'list of the stocks'!I17),"")</f>
        <v>-1.5917742559834011E-2</v>
      </c>
      <c r="H17">
        <f ca="1">IFERROR(LN('list of the stocks'!K17/'list of the stocks'!J17),"")</f>
        <v>1.1450528488721514E-2</v>
      </c>
      <c r="I17">
        <f ca="1">IFERROR(LN('list of the stocks'!L17/'list of the stocks'!K17),"")</f>
        <v>-1.1306142061771502E-5</v>
      </c>
      <c r="J17">
        <f ca="1">IFERROR(LN('list of the stocks'!M17/'list of the stocks'!L17),"")</f>
        <v>-2.7405255433384009E-2</v>
      </c>
      <c r="K17">
        <f ca="1">IFERROR(LN('list of the stocks'!N17/'list of the stocks'!M17),"")</f>
        <v>-1.9756529887904583E-4</v>
      </c>
      <c r="L17">
        <f ca="1">IFERROR(LN('list of the stocks'!O17/'list of the stocks'!N17),"")</f>
        <v>2.6232720030020208E-3</v>
      </c>
      <c r="M17">
        <f ca="1">IFERROR(LN('list of the stocks'!P17/'list of the stocks'!O17),"")</f>
        <v>-5.8829170270800245E-3</v>
      </c>
      <c r="N17">
        <f ca="1">IFERROR(LN('list of the stocks'!Q17/'list of the stocks'!P17),"")</f>
        <v>-2.2997774566732082E-3</v>
      </c>
      <c r="O17">
        <f ca="1">IFERROR(LN('list of the stocks'!R17/'list of the stocks'!Q17),"")</f>
        <v>-6.5900028597574928E-3</v>
      </c>
      <c r="P17">
        <f ca="1">IFERROR(LN('list of the stocks'!S17/'list of the stocks'!R17),"")</f>
        <v>5.6194752492432437E-3</v>
      </c>
      <c r="Q17">
        <f ca="1">IFERROR(LN('list of the stocks'!T17/'list of the stocks'!S17),"")</f>
        <v>1.9773035827054114E-2</v>
      </c>
      <c r="R17">
        <f ca="1">IFERROR(LN('list of the stocks'!U17/'list of the stocks'!T17),"")</f>
        <v>1.7075313137423626E-3</v>
      </c>
      <c r="S17">
        <f ca="1">IFERROR(LN('list of the stocks'!V17/'list of the stocks'!U17),"")</f>
        <v>-6.3290260024804618E-3</v>
      </c>
      <c r="T17">
        <f ca="1">IFERROR(LN('list of the stocks'!W17/'list of the stocks'!V17),"")</f>
        <v>-2.5266960468362655E-3</v>
      </c>
      <c r="U17">
        <f ca="1">IFERROR(LN('list of the stocks'!X17/'list of the stocks'!W17),"")</f>
        <v>-3.8310453745445212E-3</v>
      </c>
      <c r="V17">
        <f ca="1">IFERROR(LN('list of the stocks'!Y17/'list of the stocks'!X17),"")</f>
        <v>-9.133121894894982E-3</v>
      </c>
      <c r="W17" t="str">
        <f ca="1">IFERROR(LN('list of the stocks'!Z17/'list of the stocks'!Y17),"")</f>
        <v/>
      </c>
      <c r="X17" t="str">
        <f>IFERROR(LN('list of the stocks'!AA17/'list of the stocks'!Z17),"")</f>
        <v/>
      </c>
      <c r="Y17" t="str">
        <f>IFERROR(LN('list of the stocks'!AB17/'list of the stocks'!AA17),"")</f>
        <v/>
      </c>
      <c r="Z17" t="str">
        <f>IFERROR(LN('list of the stocks'!AC17/'list of the stocks'!AB17),"")</f>
        <v/>
      </c>
      <c r="AA17" t="str">
        <f>IFERROR(LN('list of the stocks'!AD17/'list of the stocks'!AC17),"")</f>
        <v/>
      </c>
      <c r="AB17" t="str">
        <f>IFERROR(LN('list of the stocks'!AE17/'list of the stocks'!AD17),"")</f>
        <v/>
      </c>
      <c r="AC17" t="str">
        <f>IFERROR(LN('list of the stocks'!AF17/'list of the stocks'!AE17),"")</f>
        <v/>
      </c>
      <c r="AD17" t="str">
        <f>IFERROR(LN('list of the stocks'!AG17/'list of the stocks'!AF17),"")</f>
        <v/>
      </c>
    </row>
    <row r="18" spans="2:30" x14ac:dyDescent="0.3">
      <c r="B18" t="s">
        <v>30</v>
      </c>
      <c r="C18" s="3">
        <f t="shared" ca="1" si="0"/>
        <v>9.0232280756257402E-2</v>
      </c>
      <c r="D18" t="s">
        <v>2</v>
      </c>
      <c r="E18">
        <f ca="1">IFERROR(LN('list of the stocks'!H18/'list of the stocks'!G18),"")</f>
        <v>1.4302876603643384E-2</v>
      </c>
      <c r="F18">
        <f ca="1">IFERROR(LN('list of the stocks'!I18/'list of the stocks'!H18),"")</f>
        <v>2.3038882641147266E-3</v>
      </c>
      <c r="G18">
        <f ca="1">IFERROR(LN('list of the stocks'!J18/'list of the stocks'!I18),"")</f>
        <v>-9.0285307685867503E-4</v>
      </c>
      <c r="H18">
        <f ca="1">IFERROR(LN('list of the stocks'!K18/'list of the stocks'!J18),"")</f>
        <v>4.516201875006354E-5</v>
      </c>
      <c r="I18">
        <f ca="1">IFERROR(LN('list of the stocks'!L18/'list of the stocks'!K18),"")</f>
        <v>-4.929157694427997E-2</v>
      </c>
      <c r="J18">
        <f ca="1">IFERROR(LN('list of the stocks'!M18/'list of the stocks'!L18),"")</f>
        <v>-1.5298127968647657E-2</v>
      </c>
      <c r="K18">
        <f ca="1">IFERROR(LN('list of the stocks'!N18/'list of the stocks'!M18),"")</f>
        <v>7.6305109286854593E-3</v>
      </c>
      <c r="L18">
        <f ca="1">IFERROR(LN('list of the stocks'!O18/'list of the stocks'!N18),"")</f>
        <v>-5.4324886479593229E-2</v>
      </c>
      <c r="M18">
        <f ca="1">IFERROR(LN('list of the stocks'!P18/'list of the stocks'!O18),"")</f>
        <v>1.4780938991038765E-2</v>
      </c>
      <c r="N18">
        <f ca="1">IFERROR(LN('list of the stocks'!Q18/'list of the stocks'!P18),"")</f>
        <v>5.9705539078202641E-2</v>
      </c>
      <c r="O18">
        <f ca="1">IFERROR(LN('list of the stocks'!R18/'list of the stocks'!Q18),"")</f>
        <v>7.0965328868137934E-3</v>
      </c>
      <c r="P18">
        <f ca="1">IFERROR(LN('list of the stocks'!S18/'list of the stocks'!R18),"")</f>
        <v>-2.326392938256865E-4</v>
      </c>
      <c r="Q18">
        <f ca="1">IFERROR(LN('list of the stocks'!T18/'list of the stocks'!S18),"")</f>
        <v>6.5125368631999267E-4</v>
      </c>
      <c r="R18">
        <f ca="1">IFERROR(LN('list of the stocks'!U18/'list of the stocks'!T18),"")</f>
        <v>-2.325419167281549E-4</v>
      </c>
      <c r="S18">
        <f ca="1">IFERROR(LN('list of the stocks'!V18/'list of the stocks'!U18),"")</f>
        <v>2.8797047304043701E-3</v>
      </c>
      <c r="T18">
        <f ca="1">IFERROR(LN('list of the stocks'!W18/'list of the stocks'!V18),"")</f>
        <v>-1.2530457608900514E-3</v>
      </c>
      <c r="U18">
        <f ca="1">IFERROR(LN('list of the stocks'!X18/'list of the stocks'!W18),"")</f>
        <v>-5.4947751754738268E-3</v>
      </c>
      <c r="V18">
        <f ca="1">IFERROR(LN('list of the stocks'!Y18/'list of the stocks'!X18),"")</f>
        <v>4.2553777644197571E-2</v>
      </c>
      <c r="W18" t="str">
        <f ca="1">IFERROR(LN('list of the stocks'!Z18/'list of the stocks'!Y18),"")</f>
        <v/>
      </c>
      <c r="X18" t="str">
        <f>IFERROR(LN('list of the stocks'!AA18/'list of the stocks'!Z18),"")</f>
        <v/>
      </c>
      <c r="Y18" t="str">
        <f>IFERROR(LN('list of the stocks'!AB18/'list of the stocks'!AA18),"")</f>
        <v/>
      </c>
      <c r="Z18" t="str">
        <f>IFERROR(LN('list of the stocks'!AC18/'list of the stocks'!AB18),"")</f>
        <v/>
      </c>
      <c r="AA18" t="str">
        <f>IFERROR(LN('list of the stocks'!AD18/'list of the stocks'!AC18),"")</f>
        <v/>
      </c>
      <c r="AB18" t="str">
        <f>IFERROR(LN('list of the stocks'!AE18/'list of the stocks'!AD18),"")</f>
        <v/>
      </c>
      <c r="AC18" t="str">
        <f>IFERROR(LN('list of the stocks'!AF18/'list of the stocks'!AE18),"")</f>
        <v/>
      </c>
      <c r="AD18" t="str">
        <f>IFERROR(LN('list of the stocks'!AG18/'list of the stocks'!AF18),"")</f>
        <v/>
      </c>
    </row>
    <row r="19" spans="2:30" x14ac:dyDescent="0.3">
      <c r="B19" t="s">
        <v>31</v>
      </c>
      <c r="C19" s="3">
        <f t="shared" ca="1" si="0"/>
        <v>0.15730246933291589</v>
      </c>
      <c r="D19" t="s">
        <v>32</v>
      </c>
      <c r="E19">
        <f ca="1">IFERROR(LN('list of the stocks'!H19/'list of the stocks'!G19),"")</f>
        <v>4.0076416924565317E-2</v>
      </c>
      <c r="F19">
        <f ca="1">IFERROR(LN('list of the stocks'!I19/'list of the stocks'!H19),"")</f>
        <v>2.2029969304789468E-2</v>
      </c>
      <c r="G19">
        <f ca="1">IFERROR(LN('list of the stocks'!J19/'list of the stocks'!I19),"")</f>
        <v>4.3755647690665304E-2</v>
      </c>
      <c r="H19">
        <f ca="1">IFERROR(LN('list of the stocks'!K19/'list of the stocks'!J19),"")</f>
        <v>-2.0109071424104587E-2</v>
      </c>
      <c r="I19">
        <f ca="1">IFERROR(LN('list of the stocks'!L19/'list of the stocks'!K19),"")</f>
        <v>-6.9363265407880501E-2</v>
      </c>
      <c r="J19">
        <f ca="1">IFERROR(LN('list of the stocks'!M19/'list of the stocks'!L19),"")</f>
        <v>-1.5210054214468818E-2</v>
      </c>
      <c r="K19">
        <f ca="1">IFERROR(LN('list of the stocks'!N19/'list of the stocks'!M19),"")</f>
        <v>-2.1234388619532633E-2</v>
      </c>
      <c r="L19">
        <f ca="1">IFERROR(LN('list of the stocks'!O19/'list of the stocks'!N19),"")</f>
        <v>-3.0524388049306132E-2</v>
      </c>
      <c r="M19">
        <f ca="1">IFERROR(LN('list of the stocks'!P19/'list of the stocks'!O19),"")</f>
        <v>9.7235185734824509E-2</v>
      </c>
      <c r="N19">
        <f ca="1">IFERROR(LN('list of the stocks'!Q19/'list of the stocks'!P19),"")</f>
        <v>6.7551479126401859E-2</v>
      </c>
      <c r="O19">
        <f ca="1">IFERROR(LN('list of the stocks'!R19/'list of the stocks'!Q19),"")</f>
        <v>3.9340753620078904E-2</v>
      </c>
      <c r="P19">
        <f ca="1">IFERROR(LN('list of the stocks'!S19/'list of the stocks'!R19),"")</f>
        <v>-1.15761688577714E-3</v>
      </c>
      <c r="Q19">
        <f ca="1">IFERROR(LN('list of the stocks'!T19/'list of the stocks'!S19),"")</f>
        <v>3.6987962724333245E-2</v>
      </c>
      <c r="R19">
        <f ca="1">IFERROR(LN('list of the stocks'!U19/'list of the stocks'!T19),"")</f>
        <v>-6.6145445639016068E-3</v>
      </c>
      <c r="S19">
        <f ca="1">IFERROR(LN('list of the stocks'!V19/'list of the stocks'!U19),"")</f>
        <v>3.3085412926611886E-2</v>
      </c>
      <c r="T19">
        <f ca="1">IFERROR(LN('list of the stocks'!W19/'list of the stocks'!V19),"")</f>
        <v>-5.9284671082513243E-3</v>
      </c>
      <c r="U19">
        <f ca="1">IFERROR(LN('list of the stocks'!X19/'list of the stocks'!W19),"")</f>
        <v>-2.4982269408880192E-2</v>
      </c>
      <c r="V19">
        <f ca="1">IFERROR(LN('list of the stocks'!Y19/'list of the stocks'!X19),"")</f>
        <v>9.9978341088114445E-2</v>
      </c>
      <c r="W19" t="str">
        <f ca="1">IFERROR(LN('list of the stocks'!Z19/'list of the stocks'!Y19),"")</f>
        <v/>
      </c>
      <c r="X19" t="str">
        <f>IFERROR(LN('list of the stocks'!AA19/'list of the stocks'!Z19),"")</f>
        <v/>
      </c>
      <c r="Y19" t="str">
        <f>IFERROR(LN('list of the stocks'!AB19/'list of the stocks'!AA19),"")</f>
        <v/>
      </c>
      <c r="Z19" t="str">
        <f>IFERROR(LN('list of the stocks'!AC19/'list of the stocks'!AB19),"")</f>
        <v/>
      </c>
      <c r="AA19" t="str">
        <f>IFERROR(LN('list of the stocks'!AD19/'list of the stocks'!AC19),"")</f>
        <v/>
      </c>
      <c r="AB19" t="str">
        <f>IFERROR(LN('list of the stocks'!AE19/'list of the stocks'!AD19),"")</f>
        <v/>
      </c>
      <c r="AC19" t="str">
        <f>IFERROR(LN('list of the stocks'!AF19/'list of the stocks'!AE19),"")</f>
        <v/>
      </c>
      <c r="AD19" t="str">
        <f>IFERROR(LN('list of the stocks'!AG19/'list of the stocks'!AF19),"")</f>
        <v/>
      </c>
    </row>
    <row r="20" spans="2:30" x14ac:dyDescent="0.3">
      <c r="B20" t="s">
        <v>33</v>
      </c>
      <c r="C20" s="3">
        <f t="shared" ca="1" si="0"/>
        <v>3.7954508713926909E-2</v>
      </c>
      <c r="D20" t="s">
        <v>34</v>
      </c>
      <c r="E20">
        <f ca="1">IFERROR(LN('list of the stocks'!H20/'list of the stocks'!G20),"")</f>
        <v>1.1349991127972652E-2</v>
      </c>
      <c r="F20">
        <f ca="1">IFERROR(LN('list of the stocks'!I20/'list of the stocks'!H20),"")</f>
        <v>8.2086714639110613E-3</v>
      </c>
      <c r="G20">
        <f ca="1">IFERROR(LN('list of the stocks'!J20/'list of the stocks'!I20),"")</f>
        <v>9.2639620967331707E-3</v>
      </c>
      <c r="H20">
        <f ca="1">IFERROR(LN('list of the stocks'!K20/'list of the stocks'!J20),"")</f>
        <v>-1.2287015161060824E-2</v>
      </c>
      <c r="I20">
        <f ca="1">IFERROR(LN('list of the stocks'!L20/'list of the stocks'!K20),"")</f>
        <v>-1.8718315664718609E-2</v>
      </c>
      <c r="J20">
        <f ca="1">IFERROR(LN('list of the stocks'!M20/'list of the stocks'!L20),"")</f>
        <v>5.767398235916819E-3</v>
      </c>
      <c r="K20">
        <f ca="1">IFERROR(LN('list of the stocks'!N20/'list of the stocks'!M20),"")</f>
        <v>-8.9859397977148422E-3</v>
      </c>
      <c r="L20">
        <f ca="1">IFERROR(LN('list of the stocks'!O20/'list of the stocks'!N20),"")</f>
        <v>-2.0189549336216677E-2</v>
      </c>
      <c r="M20">
        <f ca="1">IFERROR(LN('list of the stocks'!P20/'list of the stocks'!O20),"")</f>
        <v>1.242251999855711E-2</v>
      </c>
      <c r="N20">
        <f ca="1">IFERROR(LN('list of the stocks'!Q20/'list of the stocks'!P20),"")</f>
        <v>1.8923136579297357E-2</v>
      </c>
      <c r="O20">
        <f ca="1">IFERROR(LN('list of the stocks'!R20/'list of the stocks'!Q20),"")</f>
        <v>-3.9609072419797258E-3</v>
      </c>
      <c r="P20">
        <f ca="1">IFERROR(LN('list of the stocks'!S20/'list of the stocks'!R20),"")</f>
        <v>-1.1528855436955133E-3</v>
      </c>
      <c r="Q20">
        <f ca="1">IFERROR(LN('list of the stocks'!T20/'list of the stocks'!S20),"")</f>
        <v>0</v>
      </c>
      <c r="R20">
        <f ca="1">IFERROR(LN('list of the stocks'!U20/'list of the stocks'!T20),"")</f>
        <v>1.7928036560169089E-3</v>
      </c>
      <c r="S20">
        <f ca="1">IFERROR(LN('list of the stocks'!V20/'list of the stocks'!U20),"")</f>
        <v>-4.7451195158444244E-3</v>
      </c>
      <c r="T20">
        <f ca="1">IFERROR(LN('list of the stocks'!W20/'list of the stocks'!V20),"")</f>
        <v>-4.8969170020607584E-3</v>
      </c>
      <c r="U20">
        <f ca="1">IFERROR(LN('list of the stocks'!X20/'list of the stocks'!W20),"")</f>
        <v>-4.9210148517475063E-3</v>
      </c>
      <c r="V20">
        <f ca="1">IFERROR(LN('list of the stocks'!Y20/'list of the stocks'!X20),"")</f>
        <v>-1.2935438744645979E-2</v>
      </c>
      <c r="W20" t="str">
        <f ca="1">IFERROR(LN('list of the stocks'!Z20/'list of the stocks'!Y20),"")</f>
        <v/>
      </c>
      <c r="X20" t="str">
        <f>IFERROR(LN('list of the stocks'!AA20/'list of the stocks'!Z20),"")</f>
        <v/>
      </c>
      <c r="Y20" t="str">
        <f>IFERROR(LN('list of the stocks'!AB20/'list of the stocks'!AA20),"")</f>
        <v/>
      </c>
      <c r="Z20" t="str">
        <f>IFERROR(LN('list of the stocks'!AC20/'list of the stocks'!AB20),"")</f>
        <v/>
      </c>
      <c r="AA20" t="str">
        <f>IFERROR(LN('list of the stocks'!AD20/'list of the stocks'!AC20),"")</f>
        <v/>
      </c>
      <c r="AB20" t="str">
        <f>IFERROR(LN('list of the stocks'!AE20/'list of the stocks'!AD20),"")</f>
        <v/>
      </c>
      <c r="AC20" t="str">
        <f>IFERROR(LN('list of the stocks'!AF20/'list of the stocks'!AE20),"")</f>
        <v/>
      </c>
      <c r="AD20" t="str">
        <f>IFERROR(LN('list of the stocks'!AG20/'list of the stocks'!AF20),"")</f>
        <v/>
      </c>
    </row>
    <row r="21" spans="2:30" x14ac:dyDescent="0.3">
      <c r="B21" t="s">
        <v>35</v>
      </c>
      <c r="C21" s="3">
        <f t="shared" ca="1" si="0"/>
        <v>3.6395018427042451E-2</v>
      </c>
      <c r="D21" t="s">
        <v>36</v>
      </c>
      <c r="E21">
        <f ca="1">IFERROR(LN('list of the stocks'!H21/'list of the stocks'!G21),"")</f>
        <v>1.2124032560882103E-2</v>
      </c>
      <c r="F21">
        <f ca="1">IFERROR(LN('list of the stocks'!I21/'list of the stocks'!H21),"")</f>
        <v>-1.6124037894228293E-2</v>
      </c>
      <c r="G21">
        <f ca="1">IFERROR(LN('list of the stocks'!J21/'list of the stocks'!I21),"")</f>
        <v>1.8640588267694994E-2</v>
      </c>
      <c r="H21">
        <f ca="1">IFERROR(LN('list of the stocks'!K21/'list of the stocks'!J21),"")</f>
        <v>-1.3421543607899024E-2</v>
      </c>
      <c r="I21">
        <f ca="1">IFERROR(LN('list of the stocks'!L21/'list of the stocks'!K21),"")</f>
        <v>-5.1077170782726109E-3</v>
      </c>
      <c r="J21">
        <f ca="1">IFERROR(LN('list of the stocks'!M21/'list of the stocks'!L21),"")</f>
        <v>1.9075499843250677E-2</v>
      </c>
      <c r="K21">
        <f ca="1">IFERROR(LN('list of the stocks'!N21/'list of the stocks'!M21),"")</f>
        <v>-2.296212260350268E-3</v>
      </c>
      <c r="L21">
        <f ca="1">IFERROR(LN('list of the stocks'!O21/'list of the stocks'!N21),"")</f>
        <v>-1.6445379182001802E-2</v>
      </c>
      <c r="M21">
        <f ca="1">IFERROR(LN('list of the stocks'!P21/'list of the stocks'!O21),"")</f>
        <v>8.3116785919553991E-3</v>
      </c>
      <c r="N21">
        <f ca="1">IFERROR(LN('list of the stocks'!Q21/'list of the stocks'!P21),"")</f>
        <v>8.243163673730923E-3</v>
      </c>
      <c r="O21">
        <f ca="1">IFERROR(LN('list of the stocks'!R21/'list of the stocks'!Q21),"")</f>
        <v>2.0775252128196276E-3</v>
      </c>
      <c r="P21">
        <f ca="1">IFERROR(LN('list of the stocks'!S21/'list of the stocks'!R21),"")</f>
        <v>6.4238883872513456E-3</v>
      </c>
      <c r="Q21">
        <f ca="1">IFERROR(LN('list of the stocks'!T21/'list of the stocks'!S21),"")</f>
        <v>3.3587983253628799E-3</v>
      </c>
      <c r="R21">
        <f ca="1">IFERROR(LN('list of the stocks'!U21/'list of the stocks'!T21),"")</f>
        <v>4.8556879866589525E-3</v>
      </c>
      <c r="S21">
        <f ca="1">IFERROR(LN('list of the stocks'!V21/'list of the stocks'!U21),"")</f>
        <v>-4.0988084565544911E-3</v>
      </c>
      <c r="T21">
        <f ca="1">IFERROR(LN('list of the stocks'!W21/'list of the stocks'!V21),"")</f>
        <v>-1.0809058001109013E-4</v>
      </c>
      <c r="U21">
        <f ca="1">IFERROR(LN('list of the stocks'!X21/'list of the stocks'!W21),"")</f>
        <v>-6.2893289075639904E-3</v>
      </c>
      <c r="V21">
        <f ca="1">IFERROR(LN('list of the stocks'!Y21/'list of the stocks'!X21),"")</f>
        <v>-3.9237107560225947E-3</v>
      </c>
      <c r="W21" t="str">
        <f ca="1">IFERROR(LN('list of the stocks'!Z21/'list of the stocks'!Y21),"")</f>
        <v/>
      </c>
      <c r="X21" t="str">
        <f>IFERROR(LN('list of the stocks'!AA21/'list of the stocks'!Z21),"")</f>
        <v/>
      </c>
      <c r="Y21" t="str">
        <f>IFERROR(LN('list of the stocks'!AB21/'list of the stocks'!AA21),"")</f>
        <v/>
      </c>
      <c r="Z21" t="str">
        <f>IFERROR(LN('list of the stocks'!AC21/'list of the stocks'!AB21),"")</f>
        <v/>
      </c>
      <c r="AA21" t="str">
        <f>IFERROR(LN('list of the stocks'!AD21/'list of the stocks'!AC21),"")</f>
        <v/>
      </c>
      <c r="AB21" t="str">
        <f>IFERROR(LN('list of the stocks'!AE21/'list of the stocks'!AD21),"")</f>
        <v/>
      </c>
      <c r="AC21" t="str">
        <f>IFERROR(LN('list of the stocks'!AF21/'list of the stocks'!AE21),"")</f>
        <v/>
      </c>
      <c r="AD21" t="str">
        <f>IFERROR(LN('list of the stocks'!AG21/'list of the stocks'!AF21),"")</f>
        <v/>
      </c>
    </row>
    <row r="22" spans="2:30" x14ac:dyDescent="0.3">
      <c r="B22" t="s">
        <v>37</v>
      </c>
      <c r="C22" s="3">
        <f t="shared" ca="1" si="0"/>
        <v>0.12563692530908432</v>
      </c>
      <c r="D22" t="s">
        <v>38</v>
      </c>
      <c r="E22">
        <f ca="1">IFERROR(LN('list of the stocks'!H22/'list of the stocks'!G22),"")</f>
        <v>-3.1555356574196974E-3</v>
      </c>
      <c r="F22">
        <f ca="1">IFERROR(LN('list of the stocks'!I22/'list of the stocks'!H22),"")</f>
        <v>4.9303668516514403E-2</v>
      </c>
      <c r="G22">
        <f ca="1">IFERROR(LN('list of the stocks'!J22/'list of the stocks'!I22),"")</f>
        <v>-2.9892273972415812E-2</v>
      </c>
      <c r="H22">
        <f ca="1">IFERROR(LN('list of the stocks'!K22/'list of the stocks'!J22),"")</f>
        <v>1.9292840664862917E-2</v>
      </c>
      <c r="I22">
        <f ca="1">IFERROR(LN('list of the stocks'!L22/'list of the stocks'!K22),"")</f>
        <v>-6.6770733489690856E-2</v>
      </c>
      <c r="J22">
        <f ca="1">IFERROR(LN('list of the stocks'!M22/'list of the stocks'!L22),"")</f>
        <v>6.6798927272037319E-3</v>
      </c>
      <c r="K22">
        <f ca="1">IFERROR(LN('list of the stocks'!N22/'list of the stocks'!M22),"")</f>
        <v>3.15720077555903E-3</v>
      </c>
      <c r="L22">
        <f ca="1">IFERROR(LN('list of the stocks'!O22/'list of the stocks'!N22),"")</f>
        <v>-3.0232438207777473E-2</v>
      </c>
      <c r="M22">
        <f ca="1">IFERROR(LN('list of the stocks'!P22/'list of the stocks'!O22),"")</f>
        <v>5.5123091634816823E-2</v>
      </c>
      <c r="N22">
        <f ca="1">IFERROR(LN('list of the stocks'!Q22/'list of the stocks'!P22),"")</f>
        <v>3.8147222151449535E-2</v>
      </c>
      <c r="O22">
        <f ca="1">IFERROR(LN('list of the stocks'!R22/'list of the stocks'!Q22),"")</f>
        <v>1.6811739142908462E-2</v>
      </c>
      <c r="P22">
        <f ca="1">IFERROR(LN('list of the stocks'!S22/'list of the stocks'!R22),"")</f>
        <v>-7.0449318422502105E-3</v>
      </c>
      <c r="Q22">
        <f ca="1">IFERROR(LN('list of the stocks'!T22/'list of the stocks'!S22),"")</f>
        <v>-1.3049900543573778E-3</v>
      </c>
      <c r="R22">
        <f ca="1">IFERROR(LN('list of the stocks'!U22/'list of the stocks'!T22),"")</f>
        <v>-1.8408959726881644E-2</v>
      </c>
      <c r="S22">
        <f ca="1">IFERROR(LN('list of the stocks'!V22/'list of the stocks'!U22),"")</f>
        <v>-2.1811840976150371E-2</v>
      </c>
      <c r="T22">
        <f ca="1">IFERROR(LN('list of the stocks'!W22/'list of the stocks'!V22),"")</f>
        <v>-7.3391926018955105E-3</v>
      </c>
      <c r="U22">
        <f ca="1">IFERROR(LN('list of the stocks'!X22/'list of the stocks'!W22),"")</f>
        <v>-2.9090992810443285E-2</v>
      </c>
      <c r="V22">
        <f ca="1">IFERROR(LN('list of the stocks'!Y22/'list of the stocks'!X22),"")</f>
        <v>-8.5956890131661023E-2</v>
      </c>
      <c r="W22" t="str">
        <f ca="1">IFERROR(LN('list of the stocks'!Z22/'list of the stocks'!Y22),"")</f>
        <v/>
      </c>
      <c r="X22" t="str">
        <f>IFERROR(LN('list of the stocks'!AA22/'list of the stocks'!Z22),"")</f>
        <v/>
      </c>
      <c r="Y22" t="str">
        <f>IFERROR(LN('list of the stocks'!AB22/'list of the stocks'!AA22),"")</f>
        <v/>
      </c>
      <c r="Z22" t="str">
        <f>IFERROR(LN('list of the stocks'!AC22/'list of the stocks'!AB22),"")</f>
        <v/>
      </c>
      <c r="AA22" t="str">
        <f>IFERROR(LN('list of the stocks'!AD22/'list of the stocks'!AC22),"")</f>
        <v/>
      </c>
      <c r="AB22" t="str">
        <f>IFERROR(LN('list of the stocks'!AE22/'list of the stocks'!AD22),"")</f>
        <v/>
      </c>
      <c r="AC22" t="str">
        <f>IFERROR(LN('list of the stocks'!AF22/'list of the stocks'!AE22),"")</f>
        <v/>
      </c>
      <c r="AD22" t="str">
        <f>IFERROR(LN('list of the stocks'!AG22/'list of the stocks'!AF22),"")</f>
        <v/>
      </c>
    </row>
    <row r="23" spans="2:30" x14ac:dyDescent="0.3">
      <c r="B23" t="s">
        <v>39</v>
      </c>
      <c r="C23" s="3">
        <f t="shared" ca="1" si="0"/>
        <v>4.482783406013735E-2</v>
      </c>
      <c r="D23" t="s">
        <v>40</v>
      </c>
      <c r="E23">
        <f ca="1">IFERROR(LN('list of the stocks'!H23/'list of the stocks'!G23),"")</f>
        <v>-2.5069538075712196E-2</v>
      </c>
      <c r="F23">
        <f ca="1">IFERROR(LN('list of the stocks'!I23/'list of the stocks'!H23),"")</f>
        <v>-1.5229846602615709E-2</v>
      </c>
      <c r="G23">
        <f ca="1">IFERROR(LN('list of the stocks'!J23/'list of the stocks'!I23),"")</f>
        <v>-3.0405448104003696E-2</v>
      </c>
      <c r="H23">
        <f ca="1">IFERROR(LN('list of the stocks'!K23/'list of the stocks'!J23),"")</f>
        <v>5.119672342105955E-5</v>
      </c>
      <c r="I23">
        <f ca="1">IFERROR(LN('list of the stocks'!L23/'list of the stocks'!K23),"")</f>
        <v>-8.7070096924403201E-4</v>
      </c>
      <c r="J23">
        <f ca="1">IFERROR(LN('list of the stocks'!M23/'list of the stocks'!L23),"")</f>
        <v>5.1109178002101095E-3</v>
      </c>
      <c r="K23">
        <f ca="1">IFERROR(LN('list of the stocks'!N23/'list of the stocks'!M23),"")</f>
        <v>9.336377946688618E-3</v>
      </c>
      <c r="L23">
        <f ca="1">IFERROR(LN('list of the stocks'!O23/'list of the stocks'!N23),"")</f>
        <v>6.9455209000225558E-3</v>
      </c>
      <c r="M23">
        <f ca="1">IFERROR(LN('list of the stocks'!P23/'list of the stocks'!O23),"")</f>
        <v>4.4539045227742595E-3</v>
      </c>
      <c r="N23">
        <f ca="1">IFERROR(LN('list of the stocks'!Q23/'list of the stocks'!P23),"")</f>
        <v>-1.7834225829157984E-2</v>
      </c>
      <c r="O23">
        <f ca="1">IFERROR(LN('list of the stocks'!R23/'list of the stocks'!Q23),"")</f>
        <v>-4.9428111537580853E-3</v>
      </c>
      <c r="P23">
        <f ca="1">IFERROR(LN('list of the stocks'!S23/'list of the stocks'!R23),"")</f>
        <v>9.7095544594219731E-3</v>
      </c>
      <c r="Q23">
        <f ca="1">IFERROR(LN('list of the stocks'!T23/'list of the stocks'!S23),"")</f>
        <v>6.806348593177909E-3</v>
      </c>
      <c r="R23">
        <f ca="1">IFERROR(LN('list of the stocks'!U23/'list of the stocks'!T23),"")</f>
        <v>9.8995858720596335E-3</v>
      </c>
      <c r="S23">
        <f ca="1">IFERROR(LN('list of the stocks'!V23/'list of the stocks'!U23),"")</f>
        <v>1.0639714374660103E-2</v>
      </c>
      <c r="T23">
        <f ca="1">IFERROR(LN('list of the stocks'!W23/'list of the stocks'!V23),"")</f>
        <v>3.1944983548887551E-3</v>
      </c>
      <c r="U23">
        <f ca="1">IFERROR(LN('list of the stocks'!X23/'list of the stocks'!W23),"")</f>
        <v>-3.7361168225469497E-3</v>
      </c>
      <c r="V23">
        <f ca="1">IFERROR(LN('list of the stocks'!Y23/'list of the stocks'!X23),"")</f>
        <v>-1.7187845509911016E-2</v>
      </c>
      <c r="W23" t="str">
        <f ca="1">IFERROR(LN('list of the stocks'!Z23/'list of the stocks'!Y23),"")</f>
        <v/>
      </c>
      <c r="X23" t="str">
        <f>IFERROR(LN('list of the stocks'!AA23/'list of the stocks'!Z23),"")</f>
        <v/>
      </c>
      <c r="Y23" t="str">
        <f>IFERROR(LN('list of the stocks'!AB23/'list of the stocks'!AA23),"")</f>
        <v/>
      </c>
      <c r="Z23" t="str">
        <f>IFERROR(LN('list of the stocks'!AC23/'list of the stocks'!AB23),"")</f>
        <v/>
      </c>
      <c r="AA23" t="str">
        <f>IFERROR(LN('list of the stocks'!AD23/'list of the stocks'!AC23),"")</f>
        <v/>
      </c>
      <c r="AB23" t="str">
        <f>IFERROR(LN('list of the stocks'!AE23/'list of the stocks'!AD23),"")</f>
        <v/>
      </c>
      <c r="AC23" t="str">
        <f>IFERROR(LN('list of the stocks'!AF23/'list of the stocks'!AE23),"")</f>
        <v/>
      </c>
      <c r="AD23" t="str">
        <f>IFERROR(LN('list of the stocks'!AG23/'list of the stocks'!AF23),"")</f>
        <v/>
      </c>
    </row>
    <row r="24" spans="2:30" x14ac:dyDescent="0.3">
      <c r="B24" t="s">
        <v>41</v>
      </c>
      <c r="C24" s="3">
        <f t="shared" ca="1" si="0"/>
        <v>7.4249126457016312E-2</v>
      </c>
      <c r="D24" t="s">
        <v>42</v>
      </c>
      <c r="E24">
        <f ca="1">IFERROR(LN('list of the stocks'!H24/'list of the stocks'!G24),"")</f>
        <v>-1.6714527282494243E-2</v>
      </c>
      <c r="F24">
        <f ca="1">IFERROR(LN('list of the stocks'!I24/'list of the stocks'!H24),"")</f>
        <v>9.2994700965696279E-3</v>
      </c>
      <c r="G24">
        <f ca="1">IFERROR(LN('list of the stocks'!J24/'list of the stocks'!I24),"")</f>
        <v>5.197478080451718E-2</v>
      </c>
      <c r="H24">
        <f ca="1">IFERROR(LN('list of the stocks'!K24/'list of the stocks'!J24),"")</f>
        <v>-2.2031686219229494E-2</v>
      </c>
      <c r="I24">
        <f ca="1">IFERROR(LN('list of the stocks'!L24/'list of the stocks'!K24),"")</f>
        <v>-3.4048795586801728E-3</v>
      </c>
      <c r="J24">
        <f ca="1">IFERROR(LN('list of the stocks'!M24/'list of the stocks'!L24),"")</f>
        <v>-2.6788418318086083E-2</v>
      </c>
      <c r="K24">
        <f ca="1">IFERROR(LN('list of the stocks'!N24/'list of the stocks'!M24),"")</f>
        <v>2.0372852366583837E-2</v>
      </c>
      <c r="L24">
        <f ca="1">IFERROR(LN('list of the stocks'!O24/'list of the stocks'!N24),"")</f>
        <v>-8.6804497407472394E-3</v>
      </c>
      <c r="M24">
        <f ca="1">IFERROR(LN('list of the stocks'!P24/'list of the stocks'!O24),"")</f>
        <v>3.0867211792959447E-2</v>
      </c>
      <c r="N24">
        <f ca="1">IFERROR(LN('list of the stocks'!Q24/'list of the stocks'!P24),"")</f>
        <v>1.6470330994389663E-2</v>
      </c>
      <c r="O24">
        <f ca="1">IFERROR(LN('list of the stocks'!R24/'list of the stocks'!Q24),"")</f>
        <v>5.895531358121116E-4</v>
      </c>
      <c r="P24">
        <f ca="1">IFERROR(LN('list of the stocks'!S24/'list of the stocks'!R24),"")</f>
        <v>-8.254717449863964E-4</v>
      </c>
      <c r="Q24">
        <f ca="1">IFERROR(LN('list of the stocks'!T24/'list of the stocks'!S24),"")</f>
        <v>-4.7200425680137649E-4</v>
      </c>
      <c r="R24">
        <f ca="1">IFERROR(LN('list of the stocks'!U24/'list of the stocks'!T24),"")</f>
        <v>8.1110119059059384E-3</v>
      </c>
      <c r="S24">
        <f ca="1">IFERROR(LN('list of the stocks'!V24/'list of the stocks'!U24),"")</f>
        <v>-1.7419471493576196E-2</v>
      </c>
      <c r="T24">
        <f ca="1">IFERROR(LN('list of the stocks'!W24/'list of the stocks'!V24),"")</f>
        <v>-2.4969634517087946E-2</v>
      </c>
      <c r="U24">
        <f ca="1">IFERROR(LN('list of the stocks'!X24/'list of the stocks'!W24),"")</f>
        <v>-1.706179173016413E-2</v>
      </c>
      <c r="V24">
        <f ca="1">IFERROR(LN('list of the stocks'!Y24/'list of the stocks'!X24),"")</f>
        <v>-2.3699132223031983E-2</v>
      </c>
      <c r="W24" t="str">
        <f ca="1">IFERROR(LN('list of the stocks'!Z24/'list of the stocks'!Y24),"")</f>
        <v/>
      </c>
      <c r="X24" t="str">
        <f>IFERROR(LN('list of the stocks'!AA24/'list of the stocks'!Z24),"")</f>
        <v/>
      </c>
      <c r="Y24" t="str">
        <f>IFERROR(LN('list of the stocks'!AB24/'list of the stocks'!AA24),"")</f>
        <v/>
      </c>
      <c r="Z24" t="str">
        <f>IFERROR(LN('list of the stocks'!AC24/'list of the stocks'!AB24),"")</f>
        <v/>
      </c>
      <c r="AA24" t="str">
        <f>IFERROR(LN('list of the stocks'!AD24/'list of the stocks'!AC24),"")</f>
        <v/>
      </c>
      <c r="AB24" t="str">
        <f>IFERROR(LN('list of the stocks'!AE24/'list of the stocks'!AD24),"")</f>
        <v/>
      </c>
      <c r="AC24" t="str">
        <f>IFERROR(LN('list of the stocks'!AF24/'list of the stocks'!AE24),"")</f>
        <v/>
      </c>
      <c r="AD24" t="str">
        <f>IFERROR(LN('list of the stocks'!AG24/'list of the stocks'!AF24),"")</f>
        <v/>
      </c>
    </row>
  </sheetData>
  <hyperlinks>
    <hyperlink ref="D5" r:id="rId1" display="https://www.slickcharts.com/symbol/NVDA" xr:uid="{2C4804A4-42AC-4DD2-B146-9A38C9DBD56B}"/>
    <hyperlink ref="D6" r:id="rId2" display="https://www.slickcharts.com/symbol/AAPL" xr:uid="{FEFB16F1-9128-4A9E-9AC4-FB198E588BDF}"/>
    <hyperlink ref="D7" r:id="rId3" display="https://www.slickcharts.com/symbol/MSFT" xr:uid="{ABC11C57-7D1B-44FE-9324-D4878188D896}"/>
    <hyperlink ref="D8" r:id="rId4" display="https://www.slickcharts.com/symbol/AMZN" xr:uid="{84785F20-2E34-44B1-8F49-A463F25504EC}"/>
    <hyperlink ref="D9" r:id="rId5" display="https://www.slickcharts.com/symbol/GOOGL" xr:uid="{F51AA8D7-DB40-41F1-ACAB-74B110E687B7}"/>
    <hyperlink ref="D10" r:id="rId6" display="https://www.slickcharts.com/symbol/GOOG" xr:uid="{C78054C6-F56D-4D01-9C4B-7B41FDB30AAD}"/>
    <hyperlink ref="D11" r:id="rId7" display="https://www.slickcharts.com/symbol/META" xr:uid="{4207E163-D150-4B24-ACA9-7EB0CFC31457}"/>
    <hyperlink ref="D12" r:id="rId8" display="https://www.slickcharts.com/symbol/AVGO" xr:uid="{D6B8C60D-7B17-4A3D-9928-BB7F49836647}"/>
    <hyperlink ref="D13" r:id="rId9" display="https://www.slickcharts.com/symbol/TSLA" xr:uid="{73C0759F-48A3-4222-B807-B37D577BC452}"/>
    <hyperlink ref="D14" r:id="rId10" display="https://www.slickcharts.com/symbol/PLTR" xr:uid="{0B8B6480-5C96-4C2F-A568-FAB7EDA8D9B0}"/>
    <hyperlink ref="D15" r:id="rId11" display="https://www.slickcharts.com/symbol/ASML" xr:uid="{33A8EFBF-3579-4718-B4F2-CC7329477722}"/>
    <hyperlink ref="D16" r:id="rId12" display="https://www.slickcharts.com/symbol/NFLX" xr:uid="{AA5E272E-8DF2-487D-A257-CED0D6411871}"/>
    <hyperlink ref="D17" r:id="rId13" display="https://www.slickcharts.com/symbol/COST" xr:uid="{AEC67653-62EA-4129-8D5D-59BE0F32C64E}"/>
    <hyperlink ref="D18" r:id="rId14" display="https://www.slickcharts.com/symbol/AMD" xr:uid="{435FA346-F293-49A2-A4E0-5BC0E90CC73E}"/>
    <hyperlink ref="D19" r:id="rId15" display="https://www.slickcharts.com/symbol/MU" xr:uid="{653368B7-E62F-43B7-955D-8C39789F1DFD}"/>
    <hyperlink ref="D20" r:id="rId16" display="https://www.slickcharts.com/symbol/CSCO" xr:uid="{3ED16431-4105-4D53-8A55-A896B401C605}"/>
    <hyperlink ref="D21" r:id="rId17" display="https://www.slickcharts.com/symbol/AZN" xr:uid="{88FEA7C3-898E-4172-8B7E-34E697F7DEE4}"/>
    <hyperlink ref="D22" r:id="rId18" display="https://www.slickcharts.com/symbol/APP" xr:uid="{E0F5BA76-6965-4A5D-9960-9B61E72693D1}"/>
    <hyperlink ref="D23" r:id="rId19" display="https://www.slickcharts.com/symbol/TMUS" xr:uid="{1F48D054-3C99-44E4-8F44-EC0E273A4E95}"/>
    <hyperlink ref="D24" r:id="rId20" display="https://www.slickcharts.com/symbol/SHOP" xr:uid="{03DCDF78-EFDA-4872-87D6-F3B3E15B70A0}"/>
    <hyperlink ref="B6" r:id="rId21" display="https://www.slickcharts.com/symbol/AAPL" xr:uid="{243EA3ED-9D18-4D0D-BBE8-7C21EEC9BD65}"/>
    <hyperlink ref="B7" r:id="rId22" display="https://www.slickcharts.com/symbol/MSFT" xr:uid="{B5023A4D-E648-4076-97C5-043F03C9D1AB}"/>
    <hyperlink ref="B8" r:id="rId23" display="https://www.slickcharts.com/symbol/AMZN" xr:uid="{DFE235E6-1B52-4414-915C-2829CCA30DD7}"/>
    <hyperlink ref="B9" r:id="rId24" display="https://www.slickcharts.com/symbol/GOOGL" xr:uid="{D55F0A5D-8370-42C1-B14C-E2986A588D52}"/>
    <hyperlink ref="B10" r:id="rId25" display="https://www.slickcharts.com/symbol/GOOG" xr:uid="{B21FB494-D0CB-46E2-8CEA-B525B655E594}"/>
    <hyperlink ref="B11" r:id="rId26" display="https://www.slickcharts.com/symbol/META" xr:uid="{0B282D59-B3C2-4B60-898F-05DB94887893}"/>
    <hyperlink ref="B12" r:id="rId27" display="https://www.slickcharts.com/symbol/AVGO" xr:uid="{4CE0C061-CEC2-43B7-A348-9729B4BA4A33}"/>
    <hyperlink ref="B13" r:id="rId28" display="https://www.slickcharts.com/symbol/TSLA" xr:uid="{9F6F7000-352F-4CFE-9743-4DE3E800A6FE}"/>
    <hyperlink ref="B14" r:id="rId29" display="https://www.slickcharts.com/symbol/PLTR" xr:uid="{A0E4FAE5-62AD-433B-9B46-1E2FB596B8D0}"/>
    <hyperlink ref="B15" r:id="rId30" display="https://www.slickcharts.com/symbol/ASML" xr:uid="{4D67BB84-233C-4129-A252-9E226BE4F62C}"/>
    <hyperlink ref="B16" r:id="rId31" display="https://www.slickcharts.com/symbol/NFLX" xr:uid="{D7E530E1-83BB-4FF2-A5A2-DD125E06951F}"/>
    <hyperlink ref="B17" r:id="rId32" display="https://www.slickcharts.com/symbol/COST" xr:uid="{C57133B5-276F-4D98-A7A0-9A838662F9A1}"/>
    <hyperlink ref="B18" r:id="rId33" display="https://www.slickcharts.com/symbol/AMD" xr:uid="{FD77096C-24DA-4864-97F0-FAF9A925FE71}"/>
    <hyperlink ref="B19" r:id="rId34" display="https://www.slickcharts.com/symbol/MU" xr:uid="{98C65D2F-E318-487F-B78B-62F3DCDE45E0}"/>
    <hyperlink ref="B20" r:id="rId35" display="https://www.slickcharts.com/symbol/CSCO" xr:uid="{32CC7D37-4C3E-4391-ABDB-FD2266DD6731}"/>
    <hyperlink ref="B21" r:id="rId36" display="https://www.slickcharts.com/symbol/AZN" xr:uid="{9B9C4D40-F09B-4A0A-8C95-E819FC429001}"/>
    <hyperlink ref="B22" r:id="rId37" display="https://www.slickcharts.com/symbol/APP" xr:uid="{128F6A61-9402-47CA-BC86-DFAC5F38BDA5}"/>
    <hyperlink ref="B23" r:id="rId38" display="https://www.slickcharts.com/symbol/TMUS" xr:uid="{704060A9-E82A-4C04-A56B-8A7F17001610}"/>
    <hyperlink ref="B24" r:id="rId39" display="https://www.slickcharts.com/symbol/SHOP" xr:uid="{B749BE9F-52F5-4796-B6AE-1B924DD2F41C}"/>
    <hyperlink ref="B5" r:id="rId40" display="https://www.slickcharts.com/symbol/NVDA" xr:uid="{A66A3AA0-32C2-41C9-B1B4-567B50706BFC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Option Calculator</vt:lpstr>
      <vt:lpstr>statistics for stocks</vt:lpstr>
      <vt:lpstr>list of the stocks</vt:lpstr>
      <vt:lpstr>list of the pct_chng of 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Wiktor Kacorzyk</dc:creator>
  <cp:lastModifiedBy>Wiktor Kacorzyk</cp:lastModifiedBy>
  <dcterms:created xsi:type="dcterms:W3CDTF">2025-12-12T08:22:00Z</dcterms:created>
  <dcterms:modified xsi:type="dcterms:W3CDTF">2026-01-05T11:09:50Z</dcterms:modified>
</cp:coreProperties>
</file>